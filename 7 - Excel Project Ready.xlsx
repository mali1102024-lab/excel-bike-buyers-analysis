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d47ea15f63a48edc/Desktop/Alex The Analyst Bootcamp/5 - Excel Tutorial/"/>
    </mc:Choice>
  </mc:AlternateContent>
  <xr:revisionPtr revIDLastSave="5" documentId="8_{4955C0CE-C8CD-4233-B891-E56CE08B1406}" xr6:coauthVersionLast="47" xr6:coauthVersionMax="47" xr10:uidLastSave="{949024DB-9F42-4634-AC76-A0BAAF8B132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<sst xmlns="http://schemas.openxmlformats.org/spreadsheetml/2006/main" count="16274" uniqueCount="51">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</sst>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_ ;_-[$$-409]* \-#,##0\ ;_-[$$-409]* &quot;-&quot;??_ ;_-@_ "/>
    <numFmt numFmtId="166" formatCode="_-* #,##0_-;\-* #,##0_-;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1"/>
      <name val="Calibri"/>
      <family val="2"/>
      <scheme val="minor"/>
    </font>
    <font>
      <b/>
      <sz val="10"/>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16" fillId="0" borderId="0" xfId="0" applyNumberFormat="1" applyFont="1"/>
    <xf numFmtId="0" fontId="16" fillId="0" borderId="0" xfId="0" applyFont="1" applyAlignment="1">
      <alignment horizontal="left"/>
    </xf>
    <xf numFmtId="0" fontId="16" fillId="0" borderId="0" xfId="0" applyNumberFormat="1" applyFont="1"/>
    <xf numFmtId="0" fontId="21" fillId="0" borderId="0" xfId="0" applyFon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 #,##0_-;_-* &quot;-&quot;??_-;_-@_-"/>
    </dxf>
    <dxf>
      <font>
        <b/>
      </font>
    </dxf>
    <dxf>
      <numFmt numFmtId="1" formatCode="0"/>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 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35555.555555555555</c:v>
                </c:pt>
                <c:pt idx="1">
                  <c:v>38000</c:v>
                </c:pt>
              </c:numCache>
            </c:numRef>
          </c:val>
          <c:extLst>
            <c:ext xmlns:c16="http://schemas.microsoft.com/office/drawing/2014/chart" uri="{C3380CC4-5D6E-409C-BE32-E72D297353CC}">
              <c16:uniqueId val="{00000000-D388-4F33-B30C-FA6C2720F19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45000</c:v>
                </c:pt>
                <c:pt idx="1">
                  <c:v>43636.36363636364</c:v>
                </c:pt>
              </c:numCache>
            </c:numRef>
          </c:val>
          <c:extLst>
            <c:ext xmlns:c16="http://schemas.microsoft.com/office/drawing/2014/chart" uri="{C3380CC4-5D6E-409C-BE32-E72D297353CC}">
              <c16:uniqueId val="{00000001-D388-4F33-B30C-FA6C2720F19C}"/>
            </c:ext>
          </c:extLst>
        </c:ser>
        <c:dLbls>
          <c:showLegendKey val="0"/>
          <c:showVal val="0"/>
          <c:showCatName val="0"/>
          <c:showSerName val="0"/>
          <c:showPercent val="0"/>
          <c:showBubbleSize val="0"/>
        </c:dLbls>
        <c:gapWidth val="219"/>
        <c:overlap val="-27"/>
        <c:axId val="2082942831"/>
        <c:axId val="2082939471"/>
      </c:barChart>
      <c:catAx>
        <c:axId val="2082942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39471"/>
        <c:crosses val="autoZero"/>
        <c:auto val="1"/>
        <c:lblAlgn val="ctr"/>
        <c:lblOffset val="100"/>
        <c:noMultiLvlLbl val="0"/>
      </c:catAx>
      <c:valAx>
        <c:axId val="208293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42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4BCE-495B-9366-AD942B7AA61D}"/>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4BCE-495B-9366-AD942B7AA61D}"/>
            </c:ext>
          </c:extLst>
        </c:ser>
        <c:dLbls>
          <c:showLegendKey val="0"/>
          <c:showVal val="0"/>
          <c:showCatName val="0"/>
          <c:showSerName val="0"/>
          <c:showPercent val="0"/>
          <c:showBubbleSize val="0"/>
        </c:dLbls>
        <c:smooth val="0"/>
        <c:axId val="2082978831"/>
        <c:axId val="2082951471"/>
      </c:lineChart>
      <c:catAx>
        <c:axId val="2082978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51471"/>
        <c:crosses val="autoZero"/>
        <c:auto val="1"/>
        <c:lblAlgn val="ctr"/>
        <c:lblOffset val="100"/>
        <c:noMultiLvlLbl val="0"/>
      </c:catAx>
      <c:valAx>
        <c:axId val="208295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7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 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9</c:v>
                </c:pt>
                <c:pt idx="1">
                  <c:v>8</c:v>
                </c:pt>
                <c:pt idx="2">
                  <c:v>2</c:v>
                </c:pt>
              </c:numCache>
            </c:numRef>
          </c:val>
          <c:smooth val="0"/>
          <c:extLst>
            <c:ext xmlns:c16="http://schemas.microsoft.com/office/drawing/2014/chart" uri="{C3380CC4-5D6E-409C-BE32-E72D297353CC}">
              <c16:uniqueId val="{00000000-CF9A-4102-AF1A-F3485F9FFCF6}"/>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4</c:v>
                </c:pt>
                <c:pt idx="1">
                  <c:v>11</c:v>
                </c:pt>
                <c:pt idx="2">
                  <c:v>4</c:v>
                </c:pt>
              </c:numCache>
            </c:numRef>
          </c:val>
          <c:smooth val="0"/>
          <c:extLst>
            <c:ext xmlns:c16="http://schemas.microsoft.com/office/drawing/2014/chart" uri="{C3380CC4-5D6E-409C-BE32-E72D297353CC}">
              <c16:uniqueId val="{00000001-CF9A-4102-AF1A-F3485F9FFCF6}"/>
            </c:ext>
          </c:extLst>
        </c:ser>
        <c:dLbls>
          <c:showLegendKey val="0"/>
          <c:showVal val="0"/>
          <c:showCatName val="0"/>
          <c:showSerName val="0"/>
          <c:showPercent val="0"/>
          <c:showBubbleSize val="0"/>
        </c:dLbls>
        <c:marker val="1"/>
        <c:smooth val="0"/>
        <c:axId val="1959439439"/>
        <c:axId val="1959448559"/>
      </c:lineChart>
      <c:catAx>
        <c:axId val="195943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Bracket</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48559"/>
        <c:crosses val="autoZero"/>
        <c:auto val="1"/>
        <c:lblAlgn val="ctr"/>
        <c:lblOffset val="100"/>
        <c:noMultiLvlLbl val="0"/>
      </c:catAx>
      <c:valAx>
        <c:axId val="195944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 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35555.555555555555</c:v>
                </c:pt>
                <c:pt idx="1">
                  <c:v>38000</c:v>
                </c:pt>
              </c:numCache>
            </c:numRef>
          </c:val>
          <c:extLst>
            <c:ext xmlns:c16="http://schemas.microsoft.com/office/drawing/2014/chart" uri="{C3380CC4-5D6E-409C-BE32-E72D297353CC}">
              <c16:uniqueId val="{00000000-FC95-49B4-841A-D81D0959854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45000</c:v>
                </c:pt>
                <c:pt idx="1">
                  <c:v>43636.36363636364</c:v>
                </c:pt>
              </c:numCache>
            </c:numRef>
          </c:val>
          <c:extLst>
            <c:ext xmlns:c16="http://schemas.microsoft.com/office/drawing/2014/chart" uri="{C3380CC4-5D6E-409C-BE32-E72D297353CC}">
              <c16:uniqueId val="{00000001-FC95-49B4-841A-D81D0959854D}"/>
            </c:ext>
          </c:extLst>
        </c:ser>
        <c:dLbls>
          <c:showLegendKey val="0"/>
          <c:showVal val="0"/>
          <c:showCatName val="0"/>
          <c:showSerName val="0"/>
          <c:showPercent val="0"/>
          <c:showBubbleSize val="0"/>
        </c:dLbls>
        <c:gapWidth val="219"/>
        <c:overlap val="-27"/>
        <c:axId val="2082942831"/>
        <c:axId val="2082939471"/>
      </c:barChart>
      <c:catAx>
        <c:axId val="2082942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39471"/>
        <c:crosses val="autoZero"/>
        <c:auto val="1"/>
        <c:lblAlgn val="ctr"/>
        <c:lblOffset val="100"/>
        <c:noMultiLvlLbl val="0"/>
      </c:catAx>
      <c:valAx>
        <c:axId val="208293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42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 Excel Project Dataset.xlsx]Pivot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BB54-4796-B345-B6E4905041DB}"/>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BB54-4796-B345-B6E4905041DB}"/>
            </c:ext>
          </c:extLst>
        </c:ser>
        <c:dLbls>
          <c:showLegendKey val="0"/>
          <c:showVal val="0"/>
          <c:showCatName val="0"/>
          <c:showSerName val="0"/>
          <c:showPercent val="0"/>
          <c:showBubbleSize val="0"/>
        </c:dLbls>
        <c:marker val="1"/>
        <c:smooth val="0"/>
        <c:axId val="2082978831"/>
        <c:axId val="2082951471"/>
      </c:lineChart>
      <c:catAx>
        <c:axId val="20829788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2951471"/>
        <c:crosses val="autoZero"/>
        <c:auto val="1"/>
        <c:lblAlgn val="ctr"/>
        <c:lblOffset val="100"/>
        <c:noMultiLvlLbl val="0"/>
      </c:catAx>
      <c:valAx>
        <c:axId val="20829514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297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 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9</c:v>
                </c:pt>
                <c:pt idx="1">
                  <c:v>8</c:v>
                </c:pt>
                <c:pt idx="2">
                  <c:v>2</c:v>
                </c:pt>
              </c:numCache>
            </c:numRef>
          </c:val>
          <c:smooth val="0"/>
          <c:extLst>
            <c:ext xmlns:c16="http://schemas.microsoft.com/office/drawing/2014/chart" uri="{C3380CC4-5D6E-409C-BE32-E72D297353CC}">
              <c16:uniqueId val="{00000000-AA37-426A-8E1E-CF91430E46F0}"/>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4</c:v>
                </c:pt>
                <c:pt idx="1">
                  <c:v>11</c:v>
                </c:pt>
                <c:pt idx="2">
                  <c:v>4</c:v>
                </c:pt>
              </c:numCache>
            </c:numRef>
          </c:val>
          <c:smooth val="0"/>
          <c:extLst>
            <c:ext xmlns:c16="http://schemas.microsoft.com/office/drawing/2014/chart" uri="{C3380CC4-5D6E-409C-BE32-E72D297353CC}">
              <c16:uniqueId val="{00000001-AA37-426A-8E1E-CF91430E46F0}"/>
            </c:ext>
          </c:extLst>
        </c:ser>
        <c:dLbls>
          <c:showLegendKey val="0"/>
          <c:showVal val="0"/>
          <c:showCatName val="0"/>
          <c:showSerName val="0"/>
          <c:showPercent val="0"/>
          <c:showBubbleSize val="0"/>
        </c:dLbls>
        <c:marker val="1"/>
        <c:smooth val="0"/>
        <c:axId val="1959439439"/>
        <c:axId val="1959448559"/>
      </c:lineChart>
      <c:catAx>
        <c:axId val="195943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Bracket</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48559"/>
        <c:crosses val="autoZero"/>
        <c:auto val="1"/>
        <c:lblAlgn val="ctr"/>
        <c:lblOffset val="100"/>
        <c:noMultiLvlLbl val="0"/>
      </c:catAx>
      <c:valAx>
        <c:axId val="195944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2</xdr:row>
      <xdr:rowOff>14287</xdr:rowOff>
    </xdr:from>
    <xdr:to>
      <xdr:col>12</xdr:col>
      <xdr:colOff>323850</xdr:colOff>
      <xdr:row>16</xdr:row>
      <xdr:rowOff>90487</xdr:rowOff>
    </xdr:to>
    <xdr:graphicFrame macro="">
      <xdr:nvGraphicFramePr>
        <xdr:cNvPr id="2" name="Chart 1">
          <a:extLst>
            <a:ext uri="{FF2B5EF4-FFF2-40B4-BE49-F238E27FC236}">
              <a16:creationId xmlns:a16="http://schemas.microsoft.com/office/drawing/2014/main" id="{5AC02924-4FBE-CA80-71F0-BAB8BEC1B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22</xdr:row>
      <xdr:rowOff>23812</xdr:rowOff>
    </xdr:from>
    <xdr:to>
      <xdr:col>12</xdr:col>
      <xdr:colOff>333375</xdr:colOff>
      <xdr:row>36</xdr:row>
      <xdr:rowOff>100012</xdr:rowOff>
    </xdr:to>
    <xdr:graphicFrame macro="">
      <xdr:nvGraphicFramePr>
        <xdr:cNvPr id="3" name="Chart 2">
          <a:extLst>
            <a:ext uri="{FF2B5EF4-FFF2-40B4-BE49-F238E27FC236}">
              <a16:creationId xmlns:a16="http://schemas.microsoft.com/office/drawing/2014/main" id="{B3790A02-7374-546C-A8F4-4472A0C50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41</xdr:row>
      <xdr:rowOff>14287</xdr:rowOff>
    </xdr:from>
    <xdr:to>
      <xdr:col>12</xdr:col>
      <xdr:colOff>342900</xdr:colOff>
      <xdr:row>55</xdr:row>
      <xdr:rowOff>90487</xdr:rowOff>
    </xdr:to>
    <xdr:graphicFrame macro="">
      <xdr:nvGraphicFramePr>
        <xdr:cNvPr id="4" name="Chart 3">
          <a:extLst>
            <a:ext uri="{FF2B5EF4-FFF2-40B4-BE49-F238E27FC236}">
              <a16:creationId xmlns:a16="http://schemas.microsoft.com/office/drawing/2014/main" id="{FC422EBC-5F98-DABA-6812-957695A94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47626</xdr:colOff>
      <xdr:row>6</xdr:row>
      <xdr:rowOff>9525</xdr:rowOff>
    </xdr:from>
    <xdr:to>
      <xdr:col>9</xdr:col>
      <xdr:colOff>28575</xdr:colOff>
      <xdr:row>19</xdr:row>
      <xdr:rowOff>171450</xdr:rowOff>
    </xdr:to>
    <xdr:graphicFrame macro="">
      <xdr:nvGraphicFramePr>
        <xdr:cNvPr id="2" name="Chart 1">
          <a:extLst>
            <a:ext uri="{FF2B5EF4-FFF2-40B4-BE49-F238E27FC236}">
              <a16:creationId xmlns:a16="http://schemas.microsoft.com/office/drawing/2014/main" id="{F51E36E8-3173-437A-B8C2-7DF89E076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38101</xdr:colOff>
      <xdr:row>20</xdr:row>
      <xdr:rowOff>9524</xdr:rowOff>
    </xdr:from>
    <xdr:to>
      <xdr:col>14</xdr:col>
      <xdr:colOff>561975</xdr:colOff>
      <xdr:row>34</xdr:row>
      <xdr:rowOff>57150</xdr:rowOff>
    </xdr:to>
    <xdr:graphicFrame macro="">
      <xdr:nvGraphicFramePr>
        <xdr:cNvPr id="3" name="Chart 2">
          <a:extLst>
            <a:ext uri="{FF2B5EF4-FFF2-40B4-BE49-F238E27FC236}">
              <a16:creationId xmlns:a16="http://schemas.microsoft.com/office/drawing/2014/main" id="{F9C198C4-E523-4594-996F-807FC27FA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xdr:colOff>
      <xdr:row>6</xdr:row>
      <xdr:rowOff>9525</xdr:rowOff>
    </xdr:from>
    <xdr:to>
      <xdr:col>14</xdr:col>
      <xdr:colOff>581025</xdr:colOff>
      <xdr:row>19</xdr:row>
      <xdr:rowOff>161925</xdr:rowOff>
    </xdr:to>
    <xdr:graphicFrame macro="">
      <xdr:nvGraphicFramePr>
        <xdr:cNvPr id="4" name="Chart 3">
          <a:extLst>
            <a:ext uri="{FF2B5EF4-FFF2-40B4-BE49-F238E27FC236}">
              <a16:creationId xmlns:a16="http://schemas.microsoft.com/office/drawing/2014/main" id="{509FC4E5-C7C3-43BB-958F-E7E869A88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6</xdr:row>
      <xdr:rowOff>47625</xdr:rowOff>
    </xdr:from>
    <xdr:to>
      <xdr:col>3</xdr:col>
      <xdr:colOff>19050</xdr:colOff>
      <xdr:row>11</xdr:row>
      <xdr:rowOff>66675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B67CB65-D1F5-B036-8084-10FE4FD37E9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50" y="1190625"/>
              <a:ext cx="1828800" cy="971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18</xdr:row>
      <xdr:rowOff>9525</xdr:rowOff>
    </xdr:from>
    <xdr:to>
      <xdr:col>3</xdr:col>
      <xdr:colOff>19050</xdr:colOff>
      <xdr:row>27</xdr:row>
      <xdr:rowOff>76200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AFA78B4-79FE-4AB9-C103-E4993C10B3A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3438525"/>
              <a:ext cx="1828800" cy="17811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11</xdr:row>
      <xdr:rowOff>114300</xdr:rowOff>
    </xdr:from>
    <xdr:to>
      <xdr:col>3</xdr:col>
      <xdr:colOff>19050</xdr:colOff>
      <xdr:row>17</xdr:row>
      <xdr:rowOff>161925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6618596-F593-F865-8A66-528A43717E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209800"/>
              <a:ext cx="1828800" cy="11906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47624</xdr:colOff>
      <xdr:row>27</xdr:row>
      <xdr:rowOff>133350</xdr:rowOff>
    </xdr:from>
    <xdr:to>
      <xdr:col>2</xdr:col>
      <xdr:colOff>609599</xdr:colOff>
      <xdr:row>34</xdr:row>
      <xdr:rowOff>57149</xdr:rowOff>
    </xdr:to>
    <xdr:sp macro="" textlink="">
      <xdr:nvSpPr>
        <xdr:cNvPr id="10" name="Rectangle: Rounded Corners 9">
          <a:extLst>
            <a:ext uri="{FF2B5EF4-FFF2-40B4-BE49-F238E27FC236}">
              <a16:creationId xmlns:a16="http://schemas.microsoft.com/office/drawing/2014/main" id="{DD933739-BE0D-3CE3-74DB-E60B5F893F7E}"/>
            </a:ext>
          </a:extLst>
        </xdr:cNvPr>
        <xdr:cNvSpPr/>
      </xdr:nvSpPr>
      <xdr:spPr>
        <a:xfrm>
          <a:off x="47624" y="5276850"/>
          <a:ext cx="1781175" cy="12572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a:solidFill>
                <a:schemeClr val="bg1"/>
              </a:solidFill>
              <a:effectLst/>
              <a:latin typeface="+mn-lt"/>
              <a:ea typeface="+mn-ea"/>
              <a:cs typeface="+mn-cs"/>
            </a:rPr>
            <a:t>DEVELOPED</a:t>
          </a:r>
          <a:r>
            <a:rPr lang="en-US" sz="1000" b="1" i="0" u="none" strike="noStrike" baseline="0">
              <a:solidFill>
                <a:schemeClr val="bg1"/>
              </a:solidFill>
              <a:effectLst/>
              <a:latin typeface="+mn-lt"/>
              <a:ea typeface="+mn-ea"/>
              <a:cs typeface="+mn-cs"/>
            </a:rPr>
            <a:t> BY:</a:t>
          </a:r>
          <a:endParaRPr lang="en-US" sz="1000" b="1" i="0" u="none" strike="noStrike">
            <a:solidFill>
              <a:schemeClr val="bg1"/>
            </a:solidFill>
            <a:effectLst/>
            <a:latin typeface="+mn-lt"/>
            <a:ea typeface="+mn-ea"/>
            <a:cs typeface="+mn-cs"/>
          </a:endParaRPr>
        </a:p>
        <a:p>
          <a:pPr algn="l"/>
          <a:endParaRPr lang="en-US" sz="1000" b="1" i="0" u="none" strike="noStrike">
            <a:solidFill>
              <a:schemeClr val="bg1"/>
            </a:solidFill>
            <a:effectLst/>
            <a:latin typeface="+mn-lt"/>
            <a:ea typeface="+mn-ea"/>
            <a:cs typeface="+mn-cs"/>
          </a:endParaRPr>
        </a:p>
        <a:p>
          <a:pPr algn="l"/>
          <a:r>
            <a:rPr lang="en-US" sz="1000" b="1" i="0" u="none" strike="noStrike">
              <a:solidFill>
                <a:schemeClr val="bg1"/>
              </a:solidFill>
              <a:effectLst/>
              <a:latin typeface="+mn-lt"/>
              <a:ea typeface="+mn-ea"/>
              <a:cs typeface="+mn-cs"/>
            </a:rPr>
            <a:t>Name: Mirza Basheer Ali</a:t>
          </a:r>
          <a:r>
            <a:rPr lang="en-US" sz="1000" b="1">
              <a:solidFill>
                <a:schemeClr val="bg1"/>
              </a:solidFill>
            </a:rPr>
            <a:t> </a:t>
          </a:r>
          <a:r>
            <a:rPr lang="en-US" sz="1000" b="1" i="0" u="none" strike="noStrike">
              <a:solidFill>
                <a:schemeClr val="bg1"/>
              </a:solidFill>
              <a:effectLst/>
              <a:latin typeface="+mn-lt"/>
              <a:ea typeface="+mn-ea"/>
              <a:cs typeface="+mn-cs"/>
            </a:rPr>
            <a:t>Role: Aspiring Data Analyst</a:t>
          </a:r>
          <a:r>
            <a:rPr lang="en-US" sz="1000" b="1">
              <a:solidFill>
                <a:schemeClr val="bg1"/>
              </a:solidFill>
            </a:rPr>
            <a:t> </a:t>
          </a:r>
        </a:p>
        <a:p>
          <a:pPr algn="l"/>
          <a:r>
            <a:rPr lang="en-US" sz="1000" b="1" i="0" u="none" strike="noStrike">
              <a:solidFill>
                <a:schemeClr val="bg1"/>
              </a:solidFill>
              <a:effectLst/>
              <a:latin typeface="+mn-lt"/>
              <a:ea typeface="+mn-ea"/>
              <a:cs typeface="+mn-cs"/>
            </a:rPr>
            <a:t>Tool Used: Excel 2024 </a:t>
          </a:r>
          <a:r>
            <a:rPr lang="en-US" sz="1000" b="1">
              <a:solidFill>
                <a:schemeClr val="bg1"/>
              </a:solidFill>
            </a:rPr>
            <a:t> </a:t>
          </a:r>
        </a:p>
        <a:p>
          <a:pPr algn="l"/>
          <a:r>
            <a:rPr lang="en-US" sz="1000" b="1" i="0" u="none" strike="noStrike">
              <a:solidFill>
                <a:schemeClr val="bg1"/>
              </a:solidFill>
              <a:effectLst/>
              <a:latin typeface="+mn-lt"/>
              <a:ea typeface="+mn-ea"/>
              <a:cs typeface="+mn-cs"/>
            </a:rPr>
            <a:t>Date: September 2026</a:t>
          </a:r>
          <a:r>
            <a:rPr lang="en-US" sz="1000" b="1">
              <a:solidFill>
                <a:schemeClr val="bg1"/>
              </a:solidFill>
            </a:rPr>
            <a:t> </a:t>
          </a:r>
          <a:endParaRPr lang="en-AE" sz="1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za Basheer Ali" refreshedDate="46288.762160185186" createdVersion="8" refreshedVersion="8" minRefreshableVersion="3" recordCount="1000" xr:uid="{9012105B-0565-4897-8113-A7BC3752971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1471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3679E2-A10F-4835-848F-30094ED136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A991B-2E82-48AA-962C-170F280C23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2:D82"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9">
    <i>
      <x/>
    </i>
    <i>
      <x v="1"/>
    </i>
    <i>
      <x v="2"/>
    </i>
    <i>
      <x v="3"/>
    </i>
    <i>
      <x v="5"/>
    </i>
    <i>
      <x v="6"/>
    </i>
    <i>
      <x v="20"/>
    </i>
    <i>
      <x v="24"/>
    </i>
    <i>
      <x v="25"/>
    </i>
    <i>
      <x v="26"/>
    </i>
    <i>
      <x v="27"/>
    </i>
    <i>
      <x v="28"/>
    </i>
    <i>
      <x v="29"/>
    </i>
    <i>
      <x v="32"/>
    </i>
    <i>
      <x v="33"/>
    </i>
    <i>
      <x v="35"/>
    </i>
    <i>
      <x v="37"/>
    </i>
    <i>
      <x v="50"/>
    </i>
    <i t="grand">
      <x/>
    </i>
  </rowItems>
  <colFields count="1">
    <field x="13"/>
  </colFields>
  <colItems count="3">
    <i>
      <x/>
    </i>
    <i>
      <x v="1"/>
    </i>
    <i t="grand">
      <x/>
    </i>
  </colItems>
  <dataFields count="1">
    <dataField name="Count of Purchased Bike" fld="13" subtotal="count" baseField="0" baseItem="0"/>
  </dataFields>
  <formats count="1">
    <format dxfId="3">
      <pivotArea dataOnly="0" fieldPosition="0">
        <references count="1">
          <reference field="11" count="0"/>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6ADFE-172E-4793-A446-D67E4B8322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2:D4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4">
      <pivotArea dataOnly="0" fieldPosition="0">
        <references count="1">
          <reference field="12" count="0"/>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D57B2-B40D-46C9-81B6-3EF55975E5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D30"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5">
      <pivotArea dataOnly="0" fieldPosition="0">
        <references count="1">
          <reference field="9"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D121882-9824-4A52-96F7-22CA7323BCA1}" sourceName="Marital Status">
  <pivotTables>
    <pivotTable tabId="3" name="PivotTable1"/>
    <pivotTable tabId="3" name="PivotTable2"/>
    <pivotTable tabId="3" name="PivotTable3"/>
    <pivotTable tabId="3" name="PivotTable4"/>
  </pivotTables>
  <data>
    <tabular pivotCacheId="181471955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9A8861-28D3-4F67-BE17-41EF929AAEC0}" sourceName="Education">
  <pivotTables>
    <pivotTable tabId="3" name="PivotTable1"/>
    <pivotTable tabId="3" name="PivotTable2"/>
    <pivotTable tabId="3" name="PivotTable3"/>
    <pivotTable tabId="3" name="PivotTable4"/>
  </pivotTables>
  <data>
    <tabular pivotCacheId="1814719558">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0B2D05-AC21-46C0-B093-C572C02073AA}" sourceName="Region">
  <pivotTables>
    <pivotTable tabId="3" name="PivotTable1"/>
    <pivotTable tabId="3" name="PivotTable2"/>
    <pivotTable tabId="3" name="PivotTable3"/>
    <pivotTable tabId="3" name="PivotTable4"/>
  </pivotTables>
  <data>
    <tabular pivotCacheId="181471955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004D8C-F483-4098-83D6-DF4DF7529D5F}" cache="Slicer_Marital_Status" caption="Marital Status" rowHeight="241300"/>
  <slicer name="Education" xr10:uid="{22670A06-CC83-4C01-8BC1-054A10910CBB}" cache="Slicer_Education" caption="Education" rowHeight="241300"/>
  <slicer name="Region" xr10:uid="{FE3F8BCF-8058-40B9-9D74-FDAE7C804AD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D860-BEC7-4DDA-83E6-C67033312AE8}">
  <dimension ref="A1:N1001"/>
  <sheetViews>
    <sheetView workbookViewId="0">
      <selection activeCell="O8" sqref="O8"/>
    </sheetView>
  </sheetViews>
  <sheetFormatPr defaultColWidth="11.85546875" defaultRowHeight="15" x14ac:dyDescent="0.25"/>
  <cols>
    <col min="1" max="1" width="7.42578125" style="3" bestFit="1" customWidth="1"/>
    <col min="2" max="2" width="17.85546875" style="3" bestFit="1" customWidth="1"/>
    <col min="3" max="3" width="12.140625" style="3" bestFit="1" customWidth="1"/>
    <col min="4" max="4" width="13.28515625" style="5" bestFit="1" customWidth="1"/>
    <col min="5" max="5" width="13.140625" style="3" bestFit="1" customWidth="1"/>
    <col min="6" max="6" width="17.7109375" style="3" bestFit="1" customWidth="1"/>
    <col min="7" max="7" width="15.5703125" style="3" bestFit="1" customWidth="1"/>
    <col min="8" max="8" width="17.28515625" style="3" bestFit="1" customWidth="1"/>
    <col min="9" max="9" width="9.28515625" style="3" bestFit="1" customWidth="1"/>
    <col min="10" max="10" width="22.5703125" style="3" bestFit="1" customWidth="1"/>
    <col min="11" max="11" width="14" style="3" bestFit="1" customWidth="1"/>
    <col min="12" max="12" width="9" style="3" bestFit="1" customWidth="1"/>
    <col min="13" max="13" width="16.85546875" style="3" bestFit="1" customWidth="1"/>
    <col min="14" max="14" width="19.140625" style="3" bestFit="1" customWidth="1"/>
    <col min="15" max="16384" width="11.85546875" style="3"/>
  </cols>
  <sheetData>
    <row r="1" spans="1:14" x14ac:dyDescent="0.25">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39</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5">
      <c r="A3" s="3">
        <v>24107</v>
      </c>
      <c r="B3" s="3" t="s">
        <v>36</v>
      </c>
      <c r="C3" s="3" t="s">
        <v>38</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25">
      <c r="A4" s="3">
        <v>14177</v>
      </c>
      <c r="B4" s="3" t="s">
        <v>36</v>
      </c>
      <c r="C4" s="3" t="s">
        <v>38</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38</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38</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39</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38</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38</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38</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38</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39</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39</v>
      </c>
      <c r="D13" s="5">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38</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38</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38</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39</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38</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39</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38</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38</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39</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39</v>
      </c>
      <c r="D23" s="5">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38</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38</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38</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38</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39</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38</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39</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38</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39</v>
      </c>
      <c r="D34" s="5">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38</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38</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39</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39</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39</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38</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39</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39</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39</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39</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39</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39</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39</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38</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38</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39</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38</v>
      </c>
      <c r="D53" s="5">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39</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38</v>
      </c>
      <c r="D57" s="5">
        <v>80000</v>
      </c>
      <c r="E57" s="3">
        <v>4</v>
      </c>
      <c r="F57" s="3" t="s">
        <v>27</v>
      </c>
      <c r="G57" s="3" t="s">
        <v>21</v>
      </c>
      <c r="H57" s="3" t="s">
        <v>15</v>
      </c>
      <c r="I57" s="3">
        <v>2</v>
      </c>
      <c r="J57" s="3" t="s">
        <v>46</v>
      </c>
      <c r="K57" s="3" t="s">
        <v>17</v>
      </c>
      <c r="L57" s="3">
        <v>54</v>
      </c>
      <c r="M57" s="3" t="str">
        <f t="shared" si="0"/>
        <v>Middle Age</v>
      </c>
      <c r="N57" s="3" t="s">
        <v>18</v>
      </c>
    </row>
    <row r="58" spans="1:14" x14ac:dyDescent="0.25">
      <c r="A58" s="3">
        <v>12808</v>
      </c>
      <c r="B58" s="3" t="s">
        <v>36</v>
      </c>
      <c r="C58" s="3" t="s">
        <v>38</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38</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39</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38</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39</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39</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38</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38</v>
      </c>
      <c r="D65" s="5">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39</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38</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25">
      <c r="A68" s="3">
        <v>29355</v>
      </c>
      <c r="B68" s="3" t="s">
        <v>36</v>
      </c>
      <c r="C68" s="3" t="s">
        <v>39</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38</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39</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39</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38</v>
      </c>
      <c r="D72" s="5">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39</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39</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39</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39</v>
      </c>
      <c r="D77" s="5">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39</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38</v>
      </c>
      <c r="D79" s="5">
        <v>80000</v>
      </c>
      <c r="E79" s="3">
        <v>0</v>
      </c>
      <c r="F79" s="3" t="s">
        <v>13</v>
      </c>
      <c r="G79" s="3" t="s">
        <v>21</v>
      </c>
      <c r="H79" s="3" t="s">
        <v>15</v>
      </c>
      <c r="I79" s="3">
        <v>2</v>
      </c>
      <c r="J79" s="3" t="s">
        <v>46</v>
      </c>
      <c r="K79" s="3" t="s">
        <v>24</v>
      </c>
      <c r="L79" s="3">
        <v>29</v>
      </c>
      <c r="M79" s="3" t="str">
        <f t="shared" si="1"/>
        <v>Adolescent</v>
      </c>
      <c r="N79" s="3" t="s">
        <v>15</v>
      </c>
    </row>
    <row r="80" spans="1:14" x14ac:dyDescent="0.25">
      <c r="A80" s="3">
        <v>15752</v>
      </c>
      <c r="B80" s="3" t="s">
        <v>36</v>
      </c>
      <c r="C80" s="3" t="s">
        <v>38</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38</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39</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39</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38</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38</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38</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38</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38</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38</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38</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38</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39</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38</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39</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39</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39</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39</v>
      </c>
      <c r="D97" s="5">
        <v>90000</v>
      </c>
      <c r="E97" s="3">
        <v>5</v>
      </c>
      <c r="F97" s="3" t="s">
        <v>19</v>
      </c>
      <c r="G97" s="3" t="s">
        <v>21</v>
      </c>
      <c r="H97" s="3" t="s">
        <v>15</v>
      </c>
      <c r="I97" s="3">
        <v>2</v>
      </c>
      <c r="J97" s="3" t="s">
        <v>46</v>
      </c>
      <c r="K97" s="3" t="s">
        <v>17</v>
      </c>
      <c r="L97" s="3">
        <v>62</v>
      </c>
      <c r="M97" s="3" t="str">
        <f t="shared" si="1"/>
        <v>Old</v>
      </c>
      <c r="N97" s="3" t="s">
        <v>18</v>
      </c>
    </row>
    <row r="98" spans="1:14" x14ac:dyDescent="0.25">
      <c r="A98" s="3">
        <v>12507</v>
      </c>
      <c r="B98" s="3" t="s">
        <v>36</v>
      </c>
      <c r="C98" s="3" t="s">
        <v>38</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38</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38</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39</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38</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38</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38</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39</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39</v>
      </c>
      <c r="D124" s="5">
        <v>80000</v>
      </c>
      <c r="E124" s="3">
        <v>0</v>
      </c>
      <c r="F124" s="3" t="s">
        <v>13</v>
      </c>
      <c r="G124" s="3" t="s">
        <v>21</v>
      </c>
      <c r="H124" s="3" t="s">
        <v>18</v>
      </c>
      <c r="I124" s="3">
        <v>3</v>
      </c>
      <c r="J124" s="3" t="s">
        <v>46</v>
      </c>
      <c r="K124" s="3" t="s">
        <v>24</v>
      </c>
      <c r="L124" s="3">
        <v>31</v>
      </c>
      <c r="M124" s="3" t="str">
        <f t="shared" si="1"/>
        <v>Middle Age</v>
      </c>
      <c r="N124" s="3" t="s">
        <v>18</v>
      </c>
    </row>
    <row r="125" spans="1:14" x14ac:dyDescent="0.25">
      <c r="A125" s="3">
        <v>23627</v>
      </c>
      <c r="B125" s="3" t="s">
        <v>37</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25">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38</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38</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39</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39</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39</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38</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38</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38</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38</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39</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38</v>
      </c>
      <c r="D180" s="5">
        <v>160000</v>
      </c>
      <c r="E180" s="3">
        <v>4</v>
      </c>
      <c r="F180" s="3" t="s">
        <v>19</v>
      </c>
      <c r="G180" s="3" t="s">
        <v>21</v>
      </c>
      <c r="H180" s="3" t="s">
        <v>18</v>
      </c>
      <c r="I180" s="3">
        <v>2</v>
      </c>
      <c r="J180" s="3" t="s">
        <v>46</v>
      </c>
      <c r="K180" s="3" t="s">
        <v>17</v>
      </c>
      <c r="L180" s="3">
        <v>55</v>
      </c>
      <c r="M180" s="3" t="str">
        <f t="shared" si="2"/>
        <v>Old</v>
      </c>
      <c r="N180" s="3" t="s">
        <v>15</v>
      </c>
    </row>
    <row r="181" spans="1:14" x14ac:dyDescent="0.25">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39</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38</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39</v>
      </c>
      <c r="D186" s="5">
        <v>130000</v>
      </c>
      <c r="E186" s="3">
        <v>4</v>
      </c>
      <c r="F186" s="3" t="s">
        <v>27</v>
      </c>
      <c r="G186" s="3" t="s">
        <v>28</v>
      </c>
      <c r="H186" s="3" t="s">
        <v>18</v>
      </c>
      <c r="I186" s="3">
        <v>4</v>
      </c>
      <c r="J186" s="3" t="s">
        <v>46</v>
      </c>
      <c r="K186" s="3" t="s">
        <v>17</v>
      </c>
      <c r="L186" s="3">
        <v>58</v>
      </c>
      <c r="M186" s="3" t="str">
        <f t="shared" si="2"/>
        <v>Old</v>
      </c>
      <c r="N186" s="3" t="s">
        <v>18</v>
      </c>
    </row>
    <row r="187" spans="1:14" x14ac:dyDescent="0.25">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38</v>
      </c>
      <c r="D189" s="5">
        <v>80000</v>
      </c>
      <c r="E189" s="3">
        <v>5</v>
      </c>
      <c r="F189" s="3" t="s">
        <v>19</v>
      </c>
      <c r="G189" s="3" t="s">
        <v>21</v>
      </c>
      <c r="H189" s="3" t="s">
        <v>18</v>
      </c>
      <c r="I189" s="3">
        <v>2</v>
      </c>
      <c r="J189" s="3" t="s">
        <v>46</v>
      </c>
      <c r="K189" s="3" t="s">
        <v>17</v>
      </c>
      <c r="L189" s="3">
        <v>59</v>
      </c>
      <c r="M189" s="3" t="str">
        <f t="shared" si="2"/>
        <v>Old</v>
      </c>
      <c r="N189" s="3" t="s">
        <v>18</v>
      </c>
    </row>
    <row r="190" spans="1:14" x14ac:dyDescent="0.25">
      <c r="A190" s="3">
        <v>20606</v>
      </c>
      <c r="B190" s="3" t="s">
        <v>36</v>
      </c>
      <c r="C190" s="3" t="s">
        <v>39</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38</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39</v>
      </c>
      <c r="D194" s="5">
        <v>80000</v>
      </c>
      <c r="E194" s="3">
        <v>5</v>
      </c>
      <c r="F194" s="3" t="s">
        <v>13</v>
      </c>
      <c r="G194" s="3" t="s">
        <v>28</v>
      </c>
      <c r="H194" s="3" t="s">
        <v>15</v>
      </c>
      <c r="I194" s="3">
        <v>2</v>
      </c>
      <c r="J194" s="3" t="s">
        <v>46</v>
      </c>
      <c r="K194" s="3" t="s">
        <v>17</v>
      </c>
      <c r="L194" s="3">
        <v>62</v>
      </c>
      <c r="M194" s="3" t="str">
        <f t="shared" si="2"/>
        <v>Old</v>
      </c>
      <c r="N194" s="3" t="s">
        <v>18</v>
      </c>
    </row>
    <row r="195" spans="1:14" x14ac:dyDescent="0.25">
      <c r="A195" s="3">
        <v>26032</v>
      </c>
      <c r="B195" s="3" t="s">
        <v>36</v>
      </c>
      <c r="C195" s="3" t="s">
        <v>39</v>
      </c>
      <c r="D195" s="5">
        <v>70000</v>
      </c>
      <c r="E195" s="3">
        <v>5</v>
      </c>
      <c r="F195" s="3" t="s">
        <v>13</v>
      </c>
      <c r="G195" s="3"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25">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38</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38</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38</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38</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38</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38</v>
      </c>
      <c r="D208" s="5">
        <v>90000</v>
      </c>
      <c r="E208" s="3">
        <v>5</v>
      </c>
      <c r="F208" s="3" t="s">
        <v>19</v>
      </c>
      <c r="G208" s="3" t="s">
        <v>21</v>
      </c>
      <c r="H208" s="3" t="s">
        <v>18</v>
      </c>
      <c r="I208" s="3">
        <v>2</v>
      </c>
      <c r="J208" s="3" t="s">
        <v>46</v>
      </c>
      <c r="K208" s="3" t="s">
        <v>17</v>
      </c>
      <c r="L208" s="3">
        <v>62</v>
      </c>
      <c r="M208" s="3" t="str">
        <f t="shared" si="3"/>
        <v>Old</v>
      </c>
      <c r="N208" s="3" t="s">
        <v>18</v>
      </c>
    </row>
    <row r="209" spans="1:14" x14ac:dyDescent="0.25">
      <c r="A209" s="3">
        <v>28729</v>
      </c>
      <c r="B209" s="3" t="s">
        <v>37</v>
      </c>
      <c r="C209" s="3" t="s">
        <v>39</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39</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38</v>
      </c>
      <c r="D215" s="5">
        <v>70000</v>
      </c>
      <c r="E215" s="3">
        <v>0</v>
      </c>
      <c r="F215" s="3" t="s">
        <v>13</v>
      </c>
      <c r="G215" s="3" t="s">
        <v>21</v>
      </c>
      <c r="H215" s="3" t="s">
        <v>18</v>
      </c>
      <c r="I215" s="3">
        <v>4</v>
      </c>
      <c r="J215" s="3" t="s">
        <v>46</v>
      </c>
      <c r="K215" s="3" t="s">
        <v>24</v>
      </c>
      <c r="L215" s="3">
        <v>31</v>
      </c>
      <c r="M215" s="3" t="str">
        <f t="shared" si="3"/>
        <v>Middle Age</v>
      </c>
      <c r="N215" s="3" t="s">
        <v>15</v>
      </c>
    </row>
    <row r="216" spans="1:14" x14ac:dyDescent="0.25">
      <c r="A216" s="3">
        <v>25553</v>
      </c>
      <c r="B216" s="3" t="s">
        <v>36</v>
      </c>
      <c r="C216" s="3" t="s">
        <v>38</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39</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38</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39</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38</v>
      </c>
      <c r="D231" s="5">
        <v>80000</v>
      </c>
      <c r="E231" s="3">
        <v>5</v>
      </c>
      <c r="F231" s="3" t="s">
        <v>27</v>
      </c>
      <c r="G231" s="3" t="s">
        <v>28</v>
      </c>
      <c r="H231" s="3" t="s">
        <v>15</v>
      </c>
      <c r="I231" s="3">
        <v>3</v>
      </c>
      <c r="J231" s="3" t="s">
        <v>46</v>
      </c>
      <c r="K231" s="3" t="s">
        <v>17</v>
      </c>
      <c r="L231" s="3">
        <v>57</v>
      </c>
      <c r="M231" s="3" t="str">
        <f t="shared" si="3"/>
        <v>Old</v>
      </c>
      <c r="N231" s="3" t="s">
        <v>18</v>
      </c>
    </row>
    <row r="232" spans="1:14" x14ac:dyDescent="0.25">
      <c r="A232" s="3">
        <v>22830</v>
      </c>
      <c r="B232" s="3" t="s">
        <v>36</v>
      </c>
      <c r="C232" s="3" t="s">
        <v>38</v>
      </c>
      <c r="D232" s="5">
        <v>120000</v>
      </c>
      <c r="E232" s="3">
        <v>4</v>
      </c>
      <c r="F232" s="3" t="s">
        <v>19</v>
      </c>
      <c r="G232" s="3" t="s">
        <v>28</v>
      </c>
      <c r="H232" s="3" t="s">
        <v>15</v>
      </c>
      <c r="I232" s="3">
        <v>3</v>
      </c>
      <c r="J232" s="3" t="s">
        <v>46</v>
      </c>
      <c r="K232" s="3" t="s">
        <v>17</v>
      </c>
      <c r="L232" s="3">
        <v>56</v>
      </c>
      <c r="M232" s="3" t="str">
        <f t="shared" si="3"/>
        <v>Old</v>
      </c>
      <c r="N232" s="3" t="s">
        <v>18</v>
      </c>
    </row>
    <row r="233" spans="1:14" x14ac:dyDescent="0.25">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38</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38</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39</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39</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39</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25">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39</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38</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38</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38</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38</v>
      </c>
      <c r="D255" s="5">
        <v>100000</v>
      </c>
      <c r="E255" s="3">
        <v>3</v>
      </c>
      <c r="F255" s="3" t="s">
        <v>29</v>
      </c>
      <c r="G255" s="3" t="s">
        <v>21</v>
      </c>
      <c r="H255" s="3" t="s">
        <v>15</v>
      </c>
      <c r="I255" s="3">
        <v>0</v>
      </c>
      <c r="J255" s="3" t="s">
        <v>46</v>
      </c>
      <c r="K255" s="3" t="s">
        <v>17</v>
      </c>
      <c r="L255" s="3">
        <v>59</v>
      </c>
      <c r="M255" s="3" t="str">
        <f t="shared" si="3"/>
        <v>Old</v>
      </c>
      <c r="N255" s="3" t="s">
        <v>15</v>
      </c>
    </row>
    <row r="256" spans="1:14" x14ac:dyDescent="0.25">
      <c r="A256" s="3">
        <v>21375</v>
      </c>
      <c r="B256" s="3" t="s">
        <v>37</v>
      </c>
      <c r="C256" s="3" t="s">
        <v>38</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25">
      <c r="A260" s="3">
        <v>14193</v>
      </c>
      <c r="B260" s="3" t="s">
        <v>37</v>
      </c>
      <c r="C260" s="3" t="s">
        <v>39</v>
      </c>
      <c r="D260" s="5">
        <v>100000</v>
      </c>
      <c r="E260" s="3">
        <v>3</v>
      </c>
      <c r="F260" s="3" t="s">
        <v>19</v>
      </c>
      <c r="G260" s="3" t="s">
        <v>28</v>
      </c>
      <c r="H260" s="3" t="s">
        <v>15</v>
      </c>
      <c r="I260" s="3">
        <v>4</v>
      </c>
      <c r="J260" s="3" t="s">
        <v>46</v>
      </c>
      <c r="K260" s="3" t="s">
        <v>17</v>
      </c>
      <c r="L260" s="3">
        <v>56</v>
      </c>
      <c r="M260" s="3" t="str">
        <f t="shared" si="4"/>
        <v>Old</v>
      </c>
      <c r="N260" s="3" t="s">
        <v>18</v>
      </c>
    </row>
    <row r="261" spans="1:14" x14ac:dyDescent="0.25">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39</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39</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39</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39</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38</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39</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39</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38</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38</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38</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38</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38</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38</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25">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25">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39</v>
      </c>
      <c r="D331" s="5">
        <v>90000</v>
      </c>
      <c r="E331" s="3">
        <v>5</v>
      </c>
      <c r="F331" s="3" t="s">
        <v>29</v>
      </c>
      <c r="G331" s="3" t="s">
        <v>14</v>
      </c>
      <c r="H331" s="3" t="s">
        <v>15</v>
      </c>
      <c r="I331" s="3">
        <v>2</v>
      </c>
      <c r="J331" s="3" t="s">
        <v>46</v>
      </c>
      <c r="K331" s="3" t="s">
        <v>17</v>
      </c>
      <c r="L331" s="3">
        <v>59</v>
      </c>
      <c r="M331" s="3" t="str">
        <f t="shared" si="5"/>
        <v>Old</v>
      </c>
      <c r="N331" s="3" t="s">
        <v>18</v>
      </c>
    </row>
    <row r="332" spans="1:14" x14ac:dyDescent="0.25">
      <c r="A332" s="3">
        <v>24898</v>
      </c>
      <c r="B332" s="3" t="s">
        <v>37</v>
      </c>
      <c r="C332" s="3" t="s">
        <v>39</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38</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38</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38</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38</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39</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38</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38</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38</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38</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25">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39</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39</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38</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38</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38</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38</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25">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38</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25">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39</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25">
      <c r="A388" s="3">
        <v>28957</v>
      </c>
      <c r="B388" s="3" t="s">
        <v>37</v>
      </c>
      <c r="C388" s="3" t="s">
        <v>39</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39</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25">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39</v>
      </c>
      <c r="D422" s="5">
        <v>100000</v>
      </c>
      <c r="E422" s="3">
        <v>2</v>
      </c>
      <c r="F422" s="3" t="s">
        <v>13</v>
      </c>
      <c r="G422" s="3" t="s">
        <v>28</v>
      </c>
      <c r="H422" s="3" t="s">
        <v>15</v>
      </c>
      <c r="I422" s="3">
        <v>4</v>
      </c>
      <c r="J422" s="3" t="s">
        <v>46</v>
      </c>
      <c r="K422" s="3" t="s">
        <v>17</v>
      </c>
      <c r="L422" s="3">
        <v>59</v>
      </c>
      <c r="M422" s="3" t="str">
        <f t="shared" si="6"/>
        <v>Old</v>
      </c>
      <c r="N422" s="3" t="s">
        <v>18</v>
      </c>
    </row>
    <row r="423" spans="1:14" x14ac:dyDescent="0.25">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38</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38</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38</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39</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39</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38</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39</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39</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39</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38</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39</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25">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38</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39</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38</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38</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38</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38</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38</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39</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39</v>
      </c>
      <c r="D488" s="5">
        <v>90000</v>
      </c>
      <c r="E488" s="3">
        <v>4</v>
      </c>
      <c r="F488" s="3" t="s">
        <v>29</v>
      </c>
      <c r="G488" s="3" t="s">
        <v>14</v>
      </c>
      <c r="H488" s="3" t="s">
        <v>15</v>
      </c>
      <c r="I488" s="3">
        <v>4</v>
      </c>
      <c r="J488" s="3" t="s">
        <v>46</v>
      </c>
      <c r="K488" s="3" t="s">
        <v>17</v>
      </c>
      <c r="L488" s="3">
        <v>58</v>
      </c>
      <c r="M488" s="3" t="str">
        <f t="shared" si="7"/>
        <v>Old</v>
      </c>
      <c r="N488" s="3" t="s">
        <v>18</v>
      </c>
    </row>
    <row r="489" spans="1:14" x14ac:dyDescent="0.25">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39</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38</v>
      </c>
      <c r="D495" s="5">
        <v>70000</v>
      </c>
      <c r="E495" s="3">
        <v>5</v>
      </c>
      <c r="F495" s="3" t="s">
        <v>13</v>
      </c>
      <c r="G495" s="3" t="s">
        <v>28</v>
      </c>
      <c r="H495" s="3" t="s">
        <v>15</v>
      </c>
      <c r="I495" s="3">
        <v>3</v>
      </c>
      <c r="J495" s="3" t="s">
        <v>46</v>
      </c>
      <c r="K495" s="3" t="s">
        <v>32</v>
      </c>
      <c r="L495" s="3">
        <v>60</v>
      </c>
      <c r="M495" s="3" t="str">
        <f t="shared" si="7"/>
        <v>Old</v>
      </c>
      <c r="N495" s="3" t="s">
        <v>15</v>
      </c>
    </row>
    <row r="496" spans="1:14" x14ac:dyDescent="0.25">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38</v>
      </c>
      <c r="D497" s="5">
        <v>60000</v>
      </c>
      <c r="E497" s="3">
        <v>2</v>
      </c>
      <c r="F497" s="3" t="s">
        <v>19</v>
      </c>
      <c r="G497" s="3" t="s">
        <v>21</v>
      </c>
      <c r="H497" s="3" t="s">
        <v>15</v>
      </c>
      <c r="I497" s="3">
        <v>2</v>
      </c>
      <c r="J497" s="3" t="s">
        <v>46</v>
      </c>
      <c r="K497" s="3" t="s">
        <v>32</v>
      </c>
      <c r="L497" s="3">
        <v>56</v>
      </c>
      <c r="M497" s="3" t="str">
        <f t="shared" si="7"/>
        <v>Old</v>
      </c>
      <c r="N497" s="3" t="s">
        <v>18</v>
      </c>
    </row>
    <row r="498" spans="1:14" x14ac:dyDescent="0.25">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39</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38</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38</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38</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39</v>
      </c>
      <c r="D515" s="5">
        <v>60000</v>
      </c>
      <c r="E515" s="3">
        <v>4</v>
      </c>
      <c r="F515" s="3" t="s">
        <v>31</v>
      </c>
      <c r="G515" s="3" t="s">
        <v>28</v>
      </c>
      <c r="H515" s="3" t="s">
        <v>15</v>
      </c>
      <c r="I515" s="3">
        <v>2</v>
      </c>
      <c r="J515" s="3" t="s">
        <v>46</v>
      </c>
      <c r="K515" s="3" t="s">
        <v>32</v>
      </c>
      <c r="L515" s="3">
        <v>61</v>
      </c>
      <c r="M515" s="3" t="str">
        <f t="shared" ref="M515:M578" si="8">IF(L515&gt;54,"Old",IF(L515&gt;=31,"Middle Age",IF(L515&lt;31,"Adolescent","Invalid")))</f>
        <v>Old</v>
      </c>
      <c r="N515" s="3" t="s">
        <v>15</v>
      </c>
    </row>
    <row r="516" spans="1:14" x14ac:dyDescent="0.25">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38</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38</v>
      </c>
      <c r="D523" s="5">
        <v>40000</v>
      </c>
      <c r="E523" s="3">
        <v>4</v>
      </c>
      <c r="F523" s="3" t="s">
        <v>27</v>
      </c>
      <c r="G523" s="3" t="s">
        <v>21</v>
      </c>
      <c r="H523" s="3" t="s">
        <v>15</v>
      </c>
      <c r="I523" s="3">
        <v>2</v>
      </c>
      <c r="J523" s="3" t="s">
        <v>46</v>
      </c>
      <c r="K523" s="3" t="s">
        <v>32</v>
      </c>
      <c r="L523" s="3">
        <v>62</v>
      </c>
      <c r="M523" s="3" t="str">
        <f t="shared" si="8"/>
        <v>Old</v>
      </c>
      <c r="N523" s="3" t="s">
        <v>15</v>
      </c>
    </row>
    <row r="524" spans="1:14" x14ac:dyDescent="0.25">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38</v>
      </c>
      <c r="D527" s="5">
        <v>60000</v>
      </c>
      <c r="E527" s="3">
        <v>5</v>
      </c>
      <c r="F527" s="3" t="s">
        <v>13</v>
      </c>
      <c r="G527" s="3" t="s">
        <v>28</v>
      </c>
      <c r="H527" s="3" t="s">
        <v>15</v>
      </c>
      <c r="I527" s="3">
        <v>3</v>
      </c>
      <c r="J527" s="3" t="s">
        <v>46</v>
      </c>
      <c r="K527" s="3" t="s">
        <v>32</v>
      </c>
      <c r="L527" s="3">
        <v>59</v>
      </c>
      <c r="M527" s="3" t="str">
        <f t="shared" si="8"/>
        <v>Old</v>
      </c>
      <c r="N527" s="3" t="s">
        <v>15</v>
      </c>
    </row>
    <row r="528" spans="1:14" x14ac:dyDescent="0.25">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39</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38</v>
      </c>
      <c r="D531" s="5">
        <v>60000</v>
      </c>
      <c r="E531" s="3">
        <v>2</v>
      </c>
      <c r="F531" s="3" t="s">
        <v>19</v>
      </c>
      <c r="G531" s="3" t="s">
        <v>21</v>
      </c>
      <c r="H531" s="3" t="s">
        <v>15</v>
      </c>
      <c r="I531" s="3">
        <v>1</v>
      </c>
      <c r="J531" s="3" t="s">
        <v>46</v>
      </c>
      <c r="K531" s="3" t="s">
        <v>32</v>
      </c>
      <c r="L531" s="3">
        <v>57</v>
      </c>
      <c r="M531" s="3" t="str">
        <f t="shared" si="8"/>
        <v>Old</v>
      </c>
      <c r="N531" s="3" t="s">
        <v>15</v>
      </c>
    </row>
    <row r="532" spans="1:14" x14ac:dyDescent="0.25">
      <c r="A532" s="3">
        <v>25909</v>
      </c>
      <c r="B532" s="3" t="s">
        <v>36</v>
      </c>
      <c r="C532" s="3" t="s">
        <v>38</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38</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38</v>
      </c>
      <c r="D535" s="5">
        <v>60000</v>
      </c>
      <c r="E535" s="3">
        <v>3</v>
      </c>
      <c r="F535" s="3" t="s">
        <v>13</v>
      </c>
      <c r="G535" s="3" t="s">
        <v>28</v>
      </c>
      <c r="H535" s="3" t="s">
        <v>15</v>
      </c>
      <c r="I535" s="3">
        <v>2</v>
      </c>
      <c r="J535" s="3" t="s">
        <v>46</v>
      </c>
      <c r="K535" s="3" t="s">
        <v>32</v>
      </c>
      <c r="L535" s="3">
        <v>66</v>
      </c>
      <c r="M535" s="3" t="str">
        <f t="shared" si="8"/>
        <v>Old</v>
      </c>
      <c r="N535" s="3" t="s">
        <v>18</v>
      </c>
    </row>
    <row r="536" spans="1:14" x14ac:dyDescent="0.25">
      <c r="A536" s="3">
        <v>24637</v>
      </c>
      <c r="B536" s="3" t="s">
        <v>36</v>
      </c>
      <c r="C536" s="3" t="s">
        <v>38</v>
      </c>
      <c r="D536" s="5">
        <v>40000</v>
      </c>
      <c r="E536" s="3">
        <v>4</v>
      </c>
      <c r="F536" s="3" t="s">
        <v>27</v>
      </c>
      <c r="G536" s="3" t="s">
        <v>21</v>
      </c>
      <c r="H536" s="3" t="s">
        <v>15</v>
      </c>
      <c r="I536" s="3">
        <v>2</v>
      </c>
      <c r="J536" s="3" t="s">
        <v>46</v>
      </c>
      <c r="K536" s="3" t="s">
        <v>32</v>
      </c>
      <c r="L536" s="3">
        <v>64</v>
      </c>
      <c r="M536" s="3" t="str">
        <f t="shared" si="8"/>
        <v>Old</v>
      </c>
      <c r="N536" s="3" t="s">
        <v>18</v>
      </c>
    </row>
    <row r="537" spans="1:14" x14ac:dyDescent="0.25">
      <c r="A537" s="3">
        <v>23893</v>
      </c>
      <c r="B537" s="3" t="s">
        <v>36</v>
      </c>
      <c r="C537" s="3" t="s">
        <v>38</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38</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38</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38</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39</v>
      </c>
      <c r="D553" s="5">
        <v>50000</v>
      </c>
      <c r="E553" s="3">
        <v>4</v>
      </c>
      <c r="F553" s="3" t="s">
        <v>13</v>
      </c>
      <c r="G553" s="3" t="s">
        <v>28</v>
      </c>
      <c r="H553" s="3" t="s">
        <v>15</v>
      </c>
      <c r="I553" s="3">
        <v>2</v>
      </c>
      <c r="J553" s="3" t="s">
        <v>46</v>
      </c>
      <c r="K553" s="3" t="s">
        <v>32</v>
      </c>
      <c r="L553" s="3">
        <v>63</v>
      </c>
      <c r="M553" s="3" t="str">
        <f t="shared" si="8"/>
        <v>Old</v>
      </c>
      <c r="N553" s="3" t="s">
        <v>18</v>
      </c>
    </row>
    <row r="554" spans="1:14" x14ac:dyDescent="0.25">
      <c r="A554" s="3">
        <v>14417</v>
      </c>
      <c r="B554" s="3" t="s">
        <v>37</v>
      </c>
      <c r="C554" s="3" t="s">
        <v>38</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25">
      <c r="A555" s="3">
        <v>17533</v>
      </c>
      <c r="B555" s="3" t="s">
        <v>36</v>
      </c>
      <c r="C555" s="3" t="s">
        <v>38</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39</v>
      </c>
      <c r="D561" s="5">
        <v>60000</v>
      </c>
      <c r="E561" s="3">
        <v>2</v>
      </c>
      <c r="F561" s="3" t="s">
        <v>13</v>
      </c>
      <c r="G561" s="3" t="s">
        <v>28</v>
      </c>
      <c r="H561" s="3" t="s">
        <v>15</v>
      </c>
      <c r="I561" s="3">
        <v>0</v>
      </c>
      <c r="J561" s="3" t="s">
        <v>46</v>
      </c>
      <c r="K561" s="3" t="s">
        <v>32</v>
      </c>
      <c r="L561" s="3">
        <v>58</v>
      </c>
      <c r="M561" s="3" t="str">
        <f t="shared" si="8"/>
        <v>Old</v>
      </c>
      <c r="N561" s="3" t="s">
        <v>18</v>
      </c>
    </row>
    <row r="562" spans="1:14" x14ac:dyDescent="0.25">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39</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38</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38</v>
      </c>
      <c r="D571" s="5">
        <v>50000</v>
      </c>
      <c r="E571" s="3">
        <v>3</v>
      </c>
      <c r="F571" s="3" t="s">
        <v>31</v>
      </c>
      <c r="G571" s="3" t="s">
        <v>28</v>
      </c>
      <c r="H571" s="3" t="s">
        <v>15</v>
      </c>
      <c r="I571" s="3">
        <v>2</v>
      </c>
      <c r="J571" s="3" t="s">
        <v>46</v>
      </c>
      <c r="K571" s="3" t="s">
        <v>32</v>
      </c>
      <c r="L571" s="3">
        <v>69</v>
      </c>
      <c r="M571" s="3" t="str">
        <f t="shared" si="8"/>
        <v>Old</v>
      </c>
      <c r="N571" s="3" t="s">
        <v>18</v>
      </c>
    </row>
    <row r="572" spans="1:14" x14ac:dyDescent="0.25">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38</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38</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38</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38</v>
      </c>
      <c r="D577" s="5">
        <v>60000</v>
      </c>
      <c r="E577" s="3">
        <v>2</v>
      </c>
      <c r="F577" s="3" t="s">
        <v>19</v>
      </c>
      <c r="G577" s="3" t="s">
        <v>21</v>
      </c>
      <c r="H577" s="3" t="s">
        <v>15</v>
      </c>
      <c r="I577" s="3">
        <v>1</v>
      </c>
      <c r="J577" s="3" t="s">
        <v>46</v>
      </c>
      <c r="K577" s="3" t="s">
        <v>32</v>
      </c>
      <c r="L577" s="3">
        <v>56</v>
      </c>
      <c r="M577" s="3" t="str">
        <f t="shared" si="8"/>
        <v>Old</v>
      </c>
      <c r="N577" s="3" t="s">
        <v>18</v>
      </c>
    </row>
    <row r="578" spans="1:14" x14ac:dyDescent="0.25">
      <c r="A578" s="3">
        <v>18752</v>
      </c>
      <c r="B578" s="3" t="s">
        <v>37</v>
      </c>
      <c r="C578" s="3" t="s">
        <v>39</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25">
      <c r="A580" s="3">
        <v>15313</v>
      </c>
      <c r="B580" s="3" t="s">
        <v>36</v>
      </c>
      <c r="C580" s="3" t="s">
        <v>38</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39</v>
      </c>
      <c r="D582" s="5">
        <v>60000</v>
      </c>
      <c r="E582" s="3">
        <v>3</v>
      </c>
      <c r="F582" s="3" t="s">
        <v>31</v>
      </c>
      <c r="G582" s="3" t="s">
        <v>28</v>
      </c>
      <c r="H582" s="3" t="s">
        <v>15</v>
      </c>
      <c r="I582" s="3">
        <v>2</v>
      </c>
      <c r="J582" s="3" t="s">
        <v>46</v>
      </c>
      <c r="K582" s="3" t="s">
        <v>32</v>
      </c>
      <c r="L582" s="3">
        <v>69</v>
      </c>
      <c r="M582" s="3" t="str">
        <f t="shared" si="9"/>
        <v>Old</v>
      </c>
      <c r="N582" s="3" t="s">
        <v>18</v>
      </c>
    </row>
    <row r="583" spans="1:14" x14ac:dyDescent="0.25">
      <c r="A583" s="3">
        <v>23089</v>
      </c>
      <c r="B583" s="3" t="s">
        <v>36</v>
      </c>
      <c r="C583" s="3" t="s">
        <v>38</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38</v>
      </c>
      <c r="D585" s="5">
        <v>60000</v>
      </c>
      <c r="E585" s="3">
        <v>3</v>
      </c>
      <c r="F585" s="3" t="s">
        <v>13</v>
      </c>
      <c r="G585" s="3" t="s">
        <v>28</v>
      </c>
      <c r="H585" s="3" t="s">
        <v>15</v>
      </c>
      <c r="I585" s="3">
        <v>2</v>
      </c>
      <c r="J585" s="3" t="s">
        <v>46</v>
      </c>
      <c r="K585" s="3" t="s">
        <v>32</v>
      </c>
      <c r="L585" s="3">
        <v>66</v>
      </c>
      <c r="M585" s="3" t="str">
        <f t="shared" si="9"/>
        <v>Old</v>
      </c>
      <c r="N585" s="3" t="s">
        <v>18</v>
      </c>
    </row>
    <row r="586" spans="1:14" x14ac:dyDescent="0.25">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39</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38</v>
      </c>
      <c r="D591" s="5">
        <v>60000</v>
      </c>
      <c r="E591" s="3">
        <v>2</v>
      </c>
      <c r="F591" s="3" t="s">
        <v>13</v>
      </c>
      <c r="G591" s="3" t="s">
        <v>28</v>
      </c>
      <c r="H591" s="3" t="s">
        <v>15</v>
      </c>
      <c r="I591" s="3">
        <v>0</v>
      </c>
      <c r="J591" s="3" t="s">
        <v>46</v>
      </c>
      <c r="K591" s="3" t="s">
        <v>32</v>
      </c>
      <c r="L591" s="3">
        <v>57</v>
      </c>
      <c r="M591" s="3" t="str">
        <f t="shared" si="9"/>
        <v>Old</v>
      </c>
      <c r="N591" s="3" t="s">
        <v>18</v>
      </c>
    </row>
    <row r="592" spans="1:14" x14ac:dyDescent="0.25">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38</v>
      </c>
      <c r="D593" s="5">
        <v>40000</v>
      </c>
      <c r="E593" s="3">
        <v>4</v>
      </c>
      <c r="F593" s="3" t="s">
        <v>27</v>
      </c>
      <c r="G593" s="3" t="s">
        <v>21</v>
      </c>
      <c r="H593" s="3" t="s">
        <v>18</v>
      </c>
      <c r="I593" s="3">
        <v>2</v>
      </c>
      <c r="J593" s="3" t="s">
        <v>46</v>
      </c>
      <c r="K593" s="3" t="s">
        <v>32</v>
      </c>
      <c r="L593" s="3">
        <v>61</v>
      </c>
      <c r="M593" s="3" t="str">
        <f t="shared" si="9"/>
        <v>Old</v>
      </c>
      <c r="N593" s="3" t="s">
        <v>15</v>
      </c>
    </row>
    <row r="594" spans="1:14" x14ac:dyDescent="0.25">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38</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38</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38</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39</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39</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39</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38</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39</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39</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38</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38</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38</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38</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38</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38</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38</v>
      </c>
      <c r="D643" s="5">
        <v>50000</v>
      </c>
      <c r="E643" s="3">
        <v>4</v>
      </c>
      <c r="F643" s="3" t="s">
        <v>13</v>
      </c>
      <c r="G643" s="3" t="s">
        <v>28</v>
      </c>
      <c r="H643" s="3" t="s">
        <v>15</v>
      </c>
      <c r="I643" s="3">
        <v>2</v>
      </c>
      <c r="J643" s="3" t="s">
        <v>46</v>
      </c>
      <c r="K643" s="3" t="s">
        <v>32</v>
      </c>
      <c r="L643" s="3">
        <v>64</v>
      </c>
      <c r="M643" s="3" t="str">
        <f t="shared" ref="M643:M706" si="10">IF(L643&gt;54,"Old",IF(L643&gt;=31,"Middle Age",IF(L643&lt;31,"Adolescent","Invalid")))</f>
        <v>Old</v>
      </c>
      <c r="N643" s="3" t="s">
        <v>18</v>
      </c>
    </row>
    <row r="644" spans="1:14" x14ac:dyDescent="0.25">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39</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38</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39</v>
      </c>
      <c r="D652" s="5">
        <v>70000</v>
      </c>
      <c r="E652" s="3">
        <v>5</v>
      </c>
      <c r="F652" s="3" t="s">
        <v>31</v>
      </c>
      <c r="G652" s="3" t="s">
        <v>28</v>
      </c>
      <c r="H652" s="3" t="s">
        <v>15</v>
      </c>
      <c r="I652" s="3">
        <v>2</v>
      </c>
      <c r="J652" s="3" t="s">
        <v>46</v>
      </c>
      <c r="K652" s="3" t="s">
        <v>32</v>
      </c>
      <c r="L652" s="3">
        <v>67</v>
      </c>
      <c r="M652" s="3" t="str">
        <f t="shared" si="10"/>
        <v>Old</v>
      </c>
      <c r="N652" s="3" t="s">
        <v>15</v>
      </c>
    </row>
    <row r="653" spans="1:14" x14ac:dyDescent="0.25">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38</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38</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39</v>
      </c>
      <c r="D661" s="5">
        <v>60000</v>
      </c>
      <c r="E661" s="3">
        <v>4</v>
      </c>
      <c r="F661" s="3" t="s">
        <v>13</v>
      </c>
      <c r="G661" s="3" t="s">
        <v>28</v>
      </c>
      <c r="H661" s="3" t="s">
        <v>15</v>
      </c>
      <c r="I661" s="3">
        <v>2</v>
      </c>
      <c r="J661" s="3" t="s">
        <v>46</v>
      </c>
      <c r="K661" s="3" t="s">
        <v>32</v>
      </c>
      <c r="L661" s="3">
        <v>63</v>
      </c>
      <c r="M661" s="3" t="str">
        <f t="shared" si="10"/>
        <v>Old</v>
      </c>
      <c r="N661" s="3" t="s">
        <v>18</v>
      </c>
    </row>
    <row r="662" spans="1:14" x14ac:dyDescent="0.25">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38</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39</v>
      </c>
      <c r="D669" s="5">
        <v>40000</v>
      </c>
      <c r="E669" s="3">
        <v>5</v>
      </c>
      <c r="F669" s="3" t="s">
        <v>27</v>
      </c>
      <c r="G669" s="3" t="s">
        <v>21</v>
      </c>
      <c r="H669" s="3" t="s">
        <v>18</v>
      </c>
      <c r="I669" s="3">
        <v>2</v>
      </c>
      <c r="J669" s="3" t="s">
        <v>46</v>
      </c>
      <c r="K669" s="3" t="s">
        <v>32</v>
      </c>
      <c r="L669" s="3">
        <v>61</v>
      </c>
      <c r="M669" s="3" t="str">
        <f t="shared" si="10"/>
        <v>Old</v>
      </c>
      <c r="N669" s="3" t="s">
        <v>18</v>
      </c>
    </row>
    <row r="670" spans="1:14" x14ac:dyDescent="0.25">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38</v>
      </c>
      <c r="D672" s="5">
        <v>70000</v>
      </c>
      <c r="E672" s="3">
        <v>2</v>
      </c>
      <c r="F672" s="3" t="s">
        <v>19</v>
      </c>
      <c r="G672" s="3" t="s">
        <v>21</v>
      </c>
      <c r="H672" s="3" t="s">
        <v>15</v>
      </c>
      <c r="I672" s="3">
        <v>1</v>
      </c>
      <c r="J672" s="3" t="s">
        <v>46</v>
      </c>
      <c r="K672" s="3" t="s">
        <v>32</v>
      </c>
      <c r="L672" s="3">
        <v>59</v>
      </c>
      <c r="M672" s="3" t="str">
        <f t="shared" si="10"/>
        <v>Old</v>
      </c>
      <c r="N672" s="3" t="s">
        <v>18</v>
      </c>
    </row>
    <row r="673" spans="1:14" x14ac:dyDescent="0.25">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39</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38</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38</v>
      </c>
      <c r="D681" s="5">
        <v>60000</v>
      </c>
      <c r="E681" s="3">
        <v>4</v>
      </c>
      <c r="F681" s="3" t="s">
        <v>13</v>
      </c>
      <c r="G681" s="3" t="s">
        <v>28</v>
      </c>
      <c r="H681" s="3" t="s">
        <v>15</v>
      </c>
      <c r="I681" s="3">
        <v>2</v>
      </c>
      <c r="J681" s="3" t="s">
        <v>46</v>
      </c>
      <c r="K681" s="3" t="s">
        <v>32</v>
      </c>
      <c r="L681" s="3">
        <v>60</v>
      </c>
      <c r="M681" s="3" t="str">
        <f t="shared" si="10"/>
        <v>Old</v>
      </c>
      <c r="N681" s="3" t="s">
        <v>18</v>
      </c>
    </row>
    <row r="682" spans="1:14" x14ac:dyDescent="0.25">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38</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38</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38</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38</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38</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39</v>
      </c>
      <c r="D707" s="5">
        <v>70000</v>
      </c>
      <c r="E707" s="3">
        <v>4</v>
      </c>
      <c r="F707" s="3" t="s">
        <v>13</v>
      </c>
      <c r="G707" s="3" t="s">
        <v>28</v>
      </c>
      <c r="H707" s="3" t="s">
        <v>15</v>
      </c>
      <c r="I707" s="3">
        <v>1</v>
      </c>
      <c r="J707" s="3" t="s">
        <v>46</v>
      </c>
      <c r="K707" s="3" t="s">
        <v>32</v>
      </c>
      <c r="L707" s="3">
        <v>59</v>
      </c>
      <c r="M707" s="3" t="str">
        <f t="shared" ref="M707:M770" si="11">IF(L707&gt;54,"Old",IF(L707&gt;=31,"Middle Age",IF(L707&lt;31,"Adolescent","Invalid")))</f>
        <v>Old</v>
      </c>
      <c r="N707" s="3" t="s">
        <v>18</v>
      </c>
    </row>
    <row r="708" spans="1:14" x14ac:dyDescent="0.25">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38</v>
      </c>
      <c r="D710" s="5">
        <v>70000</v>
      </c>
      <c r="E710" s="3">
        <v>5</v>
      </c>
      <c r="F710" s="3" t="s">
        <v>13</v>
      </c>
      <c r="G710" s="3" t="s">
        <v>28</v>
      </c>
      <c r="H710" s="3" t="s">
        <v>15</v>
      </c>
      <c r="I710" s="3">
        <v>4</v>
      </c>
      <c r="J710" s="3" t="s">
        <v>46</v>
      </c>
      <c r="K710" s="3" t="s">
        <v>32</v>
      </c>
      <c r="L710" s="3">
        <v>60</v>
      </c>
      <c r="M710" s="3" t="str">
        <f t="shared" si="11"/>
        <v>Old</v>
      </c>
      <c r="N710" s="3" t="s">
        <v>18</v>
      </c>
    </row>
    <row r="711" spans="1:14" x14ac:dyDescent="0.25">
      <c r="A711" s="3">
        <v>23712</v>
      </c>
      <c r="B711" s="3" t="s">
        <v>37</v>
      </c>
      <c r="C711" s="3" t="s">
        <v>39</v>
      </c>
      <c r="D711" s="5">
        <v>70000</v>
      </c>
      <c r="E711" s="3">
        <v>2</v>
      </c>
      <c r="F711" s="3" t="s">
        <v>13</v>
      </c>
      <c r="G711" s="3" t="s">
        <v>28</v>
      </c>
      <c r="H711" s="3" t="s">
        <v>15</v>
      </c>
      <c r="I711" s="3">
        <v>1</v>
      </c>
      <c r="J711" s="3" t="s">
        <v>46</v>
      </c>
      <c r="K711" s="3" t="s">
        <v>32</v>
      </c>
      <c r="L711" s="3">
        <v>59</v>
      </c>
      <c r="M711" s="3" t="str">
        <f t="shared" si="11"/>
        <v>Old</v>
      </c>
      <c r="N711" s="3" t="s">
        <v>18</v>
      </c>
    </row>
    <row r="712" spans="1:14" x14ac:dyDescent="0.25">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39</v>
      </c>
      <c r="D713" s="5">
        <v>70000</v>
      </c>
      <c r="E713" s="3">
        <v>2</v>
      </c>
      <c r="F713" s="3" t="s">
        <v>19</v>
      </c>
      <c r="G713" s="3" t="s">
        <v>21</v>
      </c>
      <c r="H713" s="3" t="s">
        <v>15</v>
      </c>
      <c r="I713" s="3">
        <v>1</v>
      </c>
      <c r="J713" s="3" t="s">
        <v>46</v>
      </c>
      <c r="K713" s="3" t="s">
        <v>32</v>
      </c>
      <c r="L713" s="3">
        <v>58</v>
      </c>
      <c r="M713" s="3" t="str">
        <f t="shared" si="11"/>
        <v>Old</v>
      </c>
      <c r="N713" s="3" t="s">
        <v>18</v>
      </c>
    </row>
    <row r="714" spans="1:14" x14ac:dyDescent="0.25">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38</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38</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39</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38</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39</v>
      </c>
      <c r="D741" s="5">
        <v>60000</v>
      </c>
      <c r="E741" s="3">
        <v>2</v>
      </c>
      <c r="F741" s="3" t="s">
        <v>19</v>
      </c>
      <c r="G741" s="3" t="s">
        <v>21</v>
      </c>
      <c r="H741" s="3" t="s">
        <v>15</v>
      </c>
      <c r="I741" s="3">
        <v>1</v>
      </c>
      <c r="J741" s="3" t="s">
        <v>46</v>
      </c>
      <c r="K741" s="3" t="s">
        <v>32</v>
      </c>
      <c r="L741" s="3">
        <v>55</v>
      </c>
      <c r="M741" s="3" t="str">
        <f t="shared" si="11"/>
        <v>Old</v>
      </c>
      <c r="N741" s="3" t="s">
        <v>18</v>
      </c>
    </row>
    <row r="742" spans="1:14" x14ac:dyDescent="0.25">
      <c r="A742" s="3">
        <v>17657</v>
      </c>
      <c r="B742" s="3" t="s">
        <v>36</v>
      </c>
      <c r="C742" s="3" t="s">
        <v>38</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38</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39</v>
      </c>
      <c r="D746" s="5">
        <v>70000</v>
      </c>
      <c r="E746" s="3">
        <v>4</v>
      </c>
      <c r="F746" s="3" t="s">
        <v>19</v>
      </c>
      <c r="G746" s="3" t="s">
        <v>21</v>
      </c>
      <c r="H746" s="3" t="s">
        <v>15</v>
      </c>
      <c r="I746" s="3">
        <v>1</v>
      </c>
      <c r="J746" s="3" t="s">
        <v>46</v>
      </c>
      <c r="K746" s="3" t="s">
        <v>32</v>
      </c>
      <c r="L746" s="3">
        <v>56</v>
      </c>
      <c r="M746" s="3" t="str">
        <f t="shared" si="11"/>
        <v>Old</v>
      </c>
      <c r="N746" s="3" t="s">
        <v>18</v>
      </c>
    </row>
    <row r="747" spans="1:14" x14ac:dyDescent="0.25">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39</v>
      </c>
      <c r="D748" s="5">
        <v>60000</v>
      </c>
      <c r="E748" s="3">
        <v>2</v>
      </c>
      <c r="F748" s="3" t="s">
        <v>13</v>
      </c>
      <c r="G748" s="3" t="s">
        <v>28</v>
      </c>
      <c r="H748" s="3" t="s">
        <v>15</v>
      </c>
      <c r="I748" s="3">
        <v>0</v>
      </c>
      <c r="J748" s="3" t="s">
        <v>46</v>
      </c>
      <c r="K748" s="3" t="s">
        <v>32</v>
      </c>
      <c r="L748" s="3">
        <v>56</v>
      </c>
      <c r="M748" s="3" t="str">
        <f t="shared" si="11"/>
        <v>Old</v>
      </c>
      <c r="N748" s="3" t="s">
        <v>18</v>
      </c>
    </row>
    <row r="749" spans="1:14" x14ac:dyDescent="0.25">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38</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39</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39</v>
      </c>
      <c r="D763" s="5">
        <v>60000</v>
      </c>
      <c r="E763" s="3">
        <v>5</v>
      </c>
      <c r="F763" s="3" t="s">
        <v>13</v>
      </c>
      <c r="G763" s="3" t="s">
        <v>28</v>
      </c>
      <c r="H763" s="3" t="s">
        <v>15</v>
      </c>
      <c r="I763" s="3">
        <v>3</v>
      </c>
      <c r="J763" s="3" t="s">
        <v>46</v>
      </c>
      <c r="K763" s="3" t="s">
        <v>32</v>
      </c>
      <c r="L763" s="3">
        <v>59</v>
      </c>
      <c r="M763" s="3" t="str">
        <f t="shared" si="11"/>
        <v>Old</v>
      </c>
      <c r="N763" s="3" t="s">
        <v>18</v>
      </c>
    </row>
    <row r="764" spans="1:14" x14ac:dyDescent="0.25">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38</v>
      </c>
      <c r="D768" s="5">
        <v>50000</v>
      </c>
      <c r="E768" s="3">
        <v>4</v>
      </c>
      <c r="F768" s="3" t="s">
        <v>13</v>
      </c>
      <c r="G768" s="3" t="s">
        <v>14</v>
      </c>
      <c r="H768" s="3" t="s">
        <v>15</v>
      </c>
      <c r="I768" s="3">
        <v>3</v>
      </c>
      <c r="J768" s="3" t="s">
        <v>46</v>
      </c>
      <c r="K768" s="3" t="s">
        <v>32</v>
      </c>
      <c r="L768" s="3">
        <v>42</v>
      </c>
      <c r="M768" s="3" t="str">
        <f t="shared" si="11"/>
        <v>Middle Age</v>
      </c>
      <c r="N768" s="3" t="s">
        <v>18</v>
      </c>
    </row>
    <row r="769" spans="1:14" x14ac:dyDescent="0.25">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25">
      <c r="A772" s="3">
        <v>17699</v>
      </c>
      <c r="B772" s="3" t="s">
        <v>36</v>
      </c>
      <c r="C772" s="3" t="s">
        <v>38</v>
      </c>
      <c r="D772" s="5">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38</v>
      </c>
      <c r="D777" s="5">
        <v>70000</v>
      </c>
      <c r="E777" s="3">
        <v>2</v>
      </c>
      <c r="F777" s="3" t="s">
        <v>29</v>
      </c>
      <c r="G777" s="3" t="s">
        <v>14</v>
      </c>
      <c r="H777" s="3" t="s">
        <v>15</v>
      </c>
      <c r="I777" s="3">
        <v>2</v>
      </c>
      <c r="J777" s="3" t="s">
        <v>46</v>
      </c>
      <c r="K777" s="3" t="s">
        <v>32</v>
      </c>
      <c r="L777" s="3">
        <v>54</v>
      </c>
      <c r="M777" s="3" t="str">
        <f t="shared" si="12"/>
        <v>Middle Age</v>
      </c>
      <c r="N777" s="3" t="s">
        <v>18</v>
      </c>
    </row>
    <row r="778" spans="1:14" x14ac:dyDescent="0.25">
      <c r="A778" s="3">
        <v>26490</v>
      </c>
      <c r="B778" s="3" t="s">
        <v>37</v>
      </c>
      <c r="C778" s="3" t="s">
        <v>38</v>
      </c>
      <c r="D778" s="5">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38</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39</v>
      </c>
      <c r="D782" s="5">
        <v>60000</v>
      </c>
      <c r="E782" s="3">
        <v>2</v>
      </c>
      <c r="F782" s="3" t="s">
        <v>19</v>
      </c>
      <c r="G782" s="3" t="s">
        <v>21</v>
      </c>
      <c r="H782" s="3" t="s">
        <v>15</v>
      </c>
      <c r="I782" s="3">
        <v>1</v>
      </c>
      <c r="J782" s="3" t="s">
        <v>46</v>
      </c>
      <c r="K782" s="3" t="s">
        <v>32</v>
      </c>
      <c r="L782" s="3">
        <v>55</v>
      </c>
      <c r="M782" s="3" t="str">
        <f t="shared" si="12"/>
        <v>Old</v>
      </c>
      <c r="N782" s="3" t="s">
        <v>18</v>
      </c>
    </row>
    <row r="783" spans="1:14" x14ac:dyDescent="0.25">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39</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38</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38</v>
      </c>
      <c r="D796" s="5">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38</v>
      </c>
      <c r="D798" s="5">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38</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39</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38</v>
      </c>
      <c r="D803" s="5">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38</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38</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38</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39</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38</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39</v>
      </c>
      <c r="D814" s="5">
        <v>70000</v>
      </c>
      <c r="E814" s="3">
        <v>4</v>
      </c>
      <c r="F814" s="3" t="s">
        <v>13</v>
      </c>
      <c r="G814" s="3" t="s">
        <v>28</v>
      </c>
      <c r="H814" s="3" t="s">
        <v>15</v>
      </c>
      <c r="I814" s="3">
        <v>2</v>
      </c>
      <c r="J814" s="3" t="s">
        <v>46</v>
      </c>
      <c r="K814" s="3" t="s">
        <v>32</v>
      </c>
      <c r="L814" s="3">
        <v>61</v>
      </c>
      <c r="M814" s="3" t="str">
        <f t="shared" si="12"/>
        <v>Old</v>
      </c>
      <c r="N814" s="3" t="s">
        <v>18</v>
      </c>
    </row>
    <row r="815" spans="1:14" x14ac:dyDescent="0.25">
      <c r="A815" s="3">
        <v>25899</v>
      </c>
      <c r="B815" s="3" t="s">
        <v>36</v>
      </c>
      <c r="C815" s="3" t="s">
        <v>39</v>
      </c>
      <c r="D815" s="5">
        <v>70000</v>
      </c>
      <c r="E815" s="3">
        <v>2</v>
      </c>
      <c r="F815" s="3" t="s">
        <v>27</v>
      </c>
      <c r="G815" s="3" t="s">
        <v>21</v>
      </c>
      <c r="H815" s="3" t="s">
        <v>15</v>
      </c>
      <c r="I815" s="3">
        <v>2</v>
      </c>
      <c r="J815" s="3" t="s">
        <v>46</v>
      </c>
      <c r="K815" s="3" t="s">
        <v>32</v>
      </c>
      <c r="L815" s="3">
        <v>53</v>
      </c>
      <c r="M815" s="3" t="str">
        <f t="shared" si="12"/>
        <v>Middle Age</v>
      </c>
      <c r="N815" s="3" t="s">
        <v>18</v>
      </c>
    </row>
    <row r="816" spans="1:14" x14ac:dyDescent="0.25">
      <c r="A816" s="3">
        <v>13351</v>
      </c>
      <c r="B816" s="3" t="s">
        <v>37</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38</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38</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39</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39</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38</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25">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38</v>
      </c>
      <c r="D842" s="5">
        <v>70000</v>
      </c>
      <c r="E842" s="3">
        <v>4</v>
      </c>
      <c r="F842" s="3" t="s">
        <v>19</v>
      </c>
      <c r="G842" s="3" t="s">
        <v>21</v>
      </c>
      <c r="H842" s="3" t="s">
        <v>15</v>
      </c>
      <c r="I842" s="3">
        <v>2</v>
      </c>
      <c r="J842" s="3" t="s">
        <v>46</v>
      </c>
      <c r="K842" s="3" t="s">
        <v>32</v>
      </c>
      <c r="L842" s="3">
        <v>53</v>
      </c>
      <c r="M842" s="3" t="str">
        <f t="shared" si="13"/>
        <v>Middle Age</v>
      </c>
      <c r="N842" s="3" t="s">
        <v>18</v>
      </c>
    </row>
    <row r="843" spans="1:14" x14ac:dyDescent="0.25">
      <c r="A843" s="3">
        <v>12056</v>
      </c>
      <c r="B843" s="3" t="s">
        <v>36</v>
      </c>
      <c r="C843" s="3" t="s">
        <v>38</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39</v>
      </c>
      <c r="D846" s="5">
        <v>40000</v>
      </c>
      <c r="E846" s="3">
        <v>5</v>
      </c>
      <c r="F846" s="3" t="s">
        <v>27</v>
      </c>
      <c r="G846" s="3" t="s">
        <v>21</v>
      </c>
      <c r="H846" s="3" t="s">
        <v>15</v>
      </c>
      <c r="I846" s="3">
        <v>2</v>
      </c>
      <c r="J846" s="3" t="s">
        <v>46</v>
      </c>
      <c r="K846" s="3" t="s">
        <v>32</v>
      </c>
      <c r="L846" s="3">
        <v>60</v>
      </c>
      <c r="M846" s="3" t="str">
        <f t="shared" si="13"/>
        <v>Old</v>
      </c>
      <c r="N846" s="3" t="s">
        <v>18</v>
      </c>
    </row>
    <row r="847" spans="1:14" x14ac:dyDescent="0.25">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39</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39</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38</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38</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38</v>
      </c>
      <c r="D868" s="5">
        <v>60000</v>
      </c>
      <c r="E868" s="3">
        <v>2</v>
      </c>
      <c r="F868" s="3" t="s">
        <v>27</v>
      </c>
      <c r="G868" s="3" t="s">
        <v>21</v>
      </c>
      <c r="H868" s="3" t="s">
        <v>15</v>
      </c>
      <c r="I868" s="3">
        <v>2</v>
      </c>
      <c r="J868" s="3" t="s">
        <v>46</v>
      </c>
      <c r="K868" s="3" t="s">
        <v>32</v>
      </c>
      <c r="L868" s="3">
        <v>55</v>
      </c>
      <c r="M868" s="3" t="str">
        <f t="shared" si="13"/>
        <v>Old</v>
      </c>
      <c r="N868" s="3" t="s">
        <v>18</v>
      </c>
    </row>
    <row r="869" spans="1:14" x14ac:dyDescent="0.25">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38</v>
      </c>
      <c r="D870" s="5">
        <v>30000</v>
      </c>
      <c r="E870" s="3">
        <v>5</v>
      </c>
      <c r="F870" s="3" t="s">
        <v>29</v>
      </c>
      <c r="G870" s="3" t="s">
        <v>14</v>
      </c>
      <c r="H870" s="3" t="s">
        <v>15</v>
      </c>
      <c r="I870" s="3">
        <v>3</v>
      </c>
      <c r="J870" s="3" t="s">
        <v>46</v>
      </c>
      <c r="K870" s="3" t="s">
        <v>32</v>
      </c>
      <c r="L870" s="3">
        <v>60</v>
      </c>
      <c r="M870" s="3" t="str">
        <f t="shared" si="13"/>
        <v>Old</v>
      </c>
      <c r="N870" s="3" t="s">
        <v>15</v>
      </c>
    </row>
    <row r="871" spans="1:14" x14ac:dyDescent="0.25">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38</v>
      </c>
      <c r="D873" s="5">
        <v>60000</v>
      </c>
      <c r="E873" s="3">
        <v>2</v>
      </c>
      <c r="F873" s="3" t="s">
        <v>27</v>
      </c>
      <c r="G873" s="3" t="s">
        <v>21</v>
      </c>
      <c r="H873" s="3" t="s">
        <v>15</v>
      </c>
      <c r="I873" s="3">
        <v>2</v>
      </c>
      <c r="J873" s="3" t="s">
        <v>46</v>
      </c>
      <c r="K873" s="3" t="s">
        <v>32</v>
      </c>
      <c r="L873" s="3">
        <v>55</v>
      </c>
      <c r="M873" s="3" t="str">
        <f t="shared" si="13"/>
        <v>Old</v>
      </c>
      <c r="N873" s="3" t="s">
        <v>18</v>
      </c>
    </row>
    <row r="874" spans="1:14" x14ac:dyDescent="0.25">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38</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38</v>
      </c>
      <c r="D879" s="5">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38</v>
      </c>
      <c r="D880" s="5">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38</v>
      </c>
      <c r="D886" s="5">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38</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25">
      <c r="A900" s="3">
        <v>18066</v>
      </c>
      <c r="B900" s="3" t="s">
        <v>37</v>
      </c>
      <c r="C900" s="3" t="s">
        <v>38</v>
      </c>
      <c r="D900" s="5">
        <v>70000</v>
      </c>
      <c r="E900" s="3">
        <v>5</v>
      </c>
      <c r="F900" s="3" t="s">
        <v>13</v>
      </c>
      <c r="G900" s="3" t="s">
        <v>28</v>
      </c>
      <c r="H900" s="3" t="s">
        <v>15</v>
      </c>
      <c r="I900" s="3">
        <v>3</v>
      </c>
      <c r="J900" s="3" t="s">
        <v>46</v>
      </c>
      <c r="K900" s="3" t="s">
        <v>32</v>
      </c>
      <c r="L900" s="3">
        <v>60</v>
      </c>
      <c r="M900" s="3" t="str">
        <f t="shared" si="14"/>
        <v>Old</v>
      </c>
      <c r="N900" s="3" t="s">
        <v>15</v>
      </c>
    </row>
    <row r="901" spans="1:14" x14ac:dyDescent="0.25">
      <c r="A901" s="3">
        <v>28192</v>
      </c>
      <c r="B901" s="3" t="s">
        <v>36</v>
      </c>
      <c r="C901" s="3" t="s">
        <v>39</v>
      </c>
      <c r="D901" s="5">
        <v>70000</v>
      </c>
      <c r="E901" s="3">
        <v>5</v>
      </c>
      <c r="F901" s="3" t="s">
        <v>31</v>
      </c>
      <c r="G901" s="3" t="s">
        <v>21</v>
      </c>
      <c r="H901" s="3" t="s">
        <v>15</v>
      </c>
      <c r="I901" s="3">
        <v>3</v>
      </c>
      <c r="J901" s="3" t="s">
        <v>46</v>
      </c>
      <c r="K901" s="3" t="s">
        <v>32</v>
      </c>
      <c r="L901" s="3">
        <v>46</v>
      </c>
      <c r="M901" s="3" t="str">
        <f t="shared" si="14"/>
        <v>Middle Age</v>
      </c>
      <c r="N901" s="3" t="s">
        <v>18</v>
      </c>
    </row>
    <row r="902" spans="1:14" x14ac:dyDescent="0.25">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38</v>
      </c>
      <c r="D905" s="5">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38</v>
      </c>
      <c r="D909" s="5">
        <v>50000</v>
      </c>
      <c r="E909" s="3">
        <v>4</v>
      </c>
      <c r="F909" s="3" t="s">
        <v>13</v>
      </c>
      <c r="G909" s="3" t="s">
        <v>28</v>
      </c>
      <c r="H909" s="3" t="s">
        <v>15</v>
      </c>
      <c r="I909" s="3">
        <v>2</v>
      </c>
      <c r="J909" s="3" t="s">
        <v>46</v>
      </c>
      <c r="K909" s="3" t="s">
        <v>32</v>
      </c>
      <c r="L909" s="3">
        <v>63</v>
      </c>
      <c r="M909" s="3" t="str">
        <f t="shared" si="14"/>
        <v>Old</v>
      </c>
      <c r="N909" s="3" t="s">
        <v>18</v>
      </c>
    </row>
    <row r="910" spans="1:14" x14ac:dyDescent="0.25">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38</v>
      </c>
      <c r="D917" s="5">
        <v>60000</v>
      </c>
      <c r="E917" s="3">
        <v>3</v>
      </c>
      <c r="F917" s="3" t="s">
        <v>31</v>
      </c>
      <c r="G917" s="3" t="s">
        <v>28</v>
      </c>
      <c r="H917" s="3" t="s">
        <v>15</v>
      </c>
      <c r="I917" s="3">
        <v>2</v>
      </c>
      <c r="J917" s="3" t="s">
        <v>46</v>
      </c>
      <c r="K917" s="3" t="s">
        <v>32</v>
      </c>
      <c r="L917" s="3">
        <v>64</v>
      </c>
      <c r="M917" s="3" t="str">
        <f t="shared" si="14"/>
        <v>Old</v>
      </c>
      <c r="N917" s="3" t="s">
        <v>18</v>
      </c>
    </row>
    <row r="918" spans="1:14" x14ac:dyDescent="0.25">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39</v>
      </c>
      <c r="D921" s="5">
        <v>40000</v>
      </c>
      <c r="E921" s="3">
        <v>4</v>
      </c>
      <c r="F921" s="3" t="s">
        <v>27</v>
      </c>
      <c r="G921" s="3" t="s">
        <v>21</v>
      </c>
      <c r="H921" s="3" t="s">
        <v>15</v>
      </c>
      <c r="I921" s="3">
        <v>2</v>
      </c>
      <c r="J921" s="3" t="s">
        <v>46</v>
      </c>
      <c r="K921" s="3" t="s">
        <v>32</v>
      </c>
      <c r="L921" s="3">
        <v>61</v>
      </c>
      <c r="M921" s="3" t="str">
        <f t="shared" si="14"/>
        <v>Old</v>
      </c>
      <c r="N921" s="3" t="s">
        <v>18</v>
      </c>
    </row>
    <row r="922" spans="1:14" x14ac:dyDescent="0.25">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39</v>
      </c>
      <c r="D928" s="5">
        <v>40000</v>
      </c>
      <c r="E928" s="3">
        <v>2</v>
      </c>
      <c r="F928" s="3" t="s">
        <v>27</v>
      </c>
      <c r="G928" s="3" t="s">
        <v>21</v>
      </c>
      <c r="H928" s="3" t="s">
        <v>15</v>
      </c>
      <c r="I928" s="3">
        <v>2</v>
      </c>
      <c r="J928" s="3" t="s">
        <v>46</v>
      </c>
      <c r="K928" s="3" t="s">
        <v>32</v>
      </c>
      <c r="L928" s="3">
        <v>57</v>
      </c>
      <c r="M928" s="3" t="str">
        <f t="shared" si="14"/>
        <v>Old</v>
      </c>
      <c r="N928" s="3" t="s">
        <v>18</v>
      </c>
    </row>
    <row r="929" spans="1:14" x14ac:dyDescent="0.25">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38</v>
      </c>
      <c r="D932" s="5">
        <v>70000</v>
      </c>
      <c r="E932" s="3">
        <v>5</v>
      </c>
      <c r="F932" s="3" t="s">
        <v>31</v>
      </c>
      <c r="G932" s="3" t="s">
        <v>21</v>
      </c>
      <c r="H932" s="3" t="s">
        <v>18</v>
      </c>
      <c r="I932" s="3">
        <v>3</v>
      </c>
      <c r="J932" s="3" t="s">
        <v>46</v>
      </c>
      <c r="K932" s="3" t="s">
        <v>32</v>
      </c>
      <c r="L932" s="3">
        <v>47</v>
      </c>
      <c r="M932" s="3" t="str">
        <f t="shared" si="14"/>
        <v>Middle Age</v>
      </c>
      <c r="N932" s="3" t="s">
        <v>18</v>
      </c>
    </row>
    <row r="933" spans="1:14" x14ac:dyDescent="0.25">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39</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38</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38</v>
      </c>
      <c r="D936" s="5">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38</v>
      </c>
      <c r="D951" s="5">
        <v>70000</v>
      </c>
      <c r="E951" s="3">
        <v>2</v>
      </c>
      <c r="F951" s="3" t="s">
        <v>29</v>
      </c>
      <c r="G951" s="3" t="s">
        <v>14</v>
      </c>
      <c r="H951" s="3" t="s">
        <v>15</v>
      </c>
      <c r="I951" s="3">
        <v>2</v>
      </c>
      <c r="J951" s="3" t="s">
        <v>46</v>
      </c>
      <c r="K951" s="3" t="s">
        <v>32</v>
      </c>
      <c r="L951" s="3">
        <v>53</v>
      </c>
      <c r="M951" s="3" t="str">
        <f t="shared" si="14"/>
        <v>Middle Age</v>
      </c>
      <c r="N951" s="3" t="s">
        <v>18</v>
      </c>
    </row>
    <row r="952" spans="1:14" x14ac:dyDescent="0.25">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39</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25">
      <c r="A964" s="3">
        <v>16813</v>
      </c>
      <c r="B964" s="3" t="s">
        <v>36</v>
      </c>
      <c r="C964" s="3" t="s">
        <v>38</v>
      </c>
      <c r="D964" s="5">
        <v>60000</v>
      </c>
      <c r="E964" s="3">
        <v>2</v>
      </c>
      <c r="F964" s="3" t="s">
        <v>19</v>
      </c>
      <c r="G964" s="3" t="s">
        <v>21</v>
      </c>
      <c r="H964" s="3" t="s">
        <v>15</v>
      </c>
      <c r="I964" s="3">
        <v>2</v>
      </c>
      <c r="J964" s="3" t="s">
        <v>46</v>
      </c>
      <c r="K964" s="3" t="s">
        <v>32</v>
      </c>
      <c r="L964" s="3">
        <v>55</v>
      </c>
      <c r="M964" s="3" t="str">
        <f t="shared" si="15"/>
        <v>Old</v>
      </c>
      <c r="N964" s="3" t="s">
        <v>18</v>
      </c>
    </row>
    <row r="965" spans="1:14" x14ac:dyDescent="0.25">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38</v>
      </c>
      <c r="D966" s="5">
        <v>70000</v>
      </c>
      <c r="E966" s="3">
        <v>4</v>
      </c>
      <c r="F966" s="3" t="s">
        <v>19</v>
      </c>
      <c r="G966" s="3" t="s">
        <v>21</v>
      </c>
      <c r="H966" s="3" t="s">
        <v>15</v>
      </c>
      <c r="I966" s="3">
        <v>1</v>
      </c>
      <c r="J966" s="3" t="s">
        <v>46</v>
      </c>
      <c r="K966" s="3" t="s">
        <v>32</v>
      </c>
      <c r="L966" s="3">
        <v>56</v>
      </c>
      <c r="M966" s="3" t="str">
        <f t="shared" si="15"/>
        <v>Old</v>
      </c>
      <c r="N966" s="3" t="s">
        <v>18</v>
      </c>
    </row>
    <row r="967" spans="1:14" x14ac:dyDescent="0.25">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38</v>
      </c>
      <c r="D969" s="5">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38</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39</v>
      </c>
      <c r="D978" s="5">
        <v>60000</v>
      </c>
      <c r="E978" s="3">
        <v>3</v>
      </c>
      <c r="F978" s="3" t="s">
        <v>13</v>
      </c>
      <c r="G978" s="3" t="s">
        <v>28</v>
      </c>
      <c r="H978" s="3" t="s">
        <v>15</v>
      </c>
      <c r="I978" s="3">
        <v>2</v>
      </c>
      <c r="J978" s="3" t="s">
        <v>46</v>
      </c>
      <c r="K978" s="3" t="s">
        <v>32</v>
      </c>
      <c r="L978" s="3">
        <v>66</v>
      </c>
      <c r="M978" s="3" t="str">
        <f t="shared" si="15"/>
        <v>Old</v>
      </c>
      <c r="N978" s="3" t="s">
        <v>18</v>
      </c>
    </row>
    <row r="979" spans="1:14" x14ac:dyDescent="0.25">
      <c r="A979" s="3">
        <v>19741</v>
      </c>
      <c r="B979" s="3" t="s">
        <v>37</v>
      </c>
      <c r="C979" s="3" t="s">
        <v>39</v>
      </c>
      <c r="D979" s="5">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38</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39</v>
      </c>
      <c r="D982" s="5">
        <v>80000</v>
      </c>
      <c r="E982" s="3">
        <v>3</v>
      </c>
      <c r="F982" s="3" t="s">
        <v>13</v>
      </c>
      <c r="G982" s="3" t="s">
        <v>14</v>
      </c>
      <c r="H982" s="3" t="s">
        <v>15</v>
      </c>
      <c r="I982" s="3">
        <v>3</v>
      </c>
      <c r="J982" s="3" t="s">
        <v>46</v>
      </c>
      <c r="K982" s="3" t="s">
        <v>32</v>
      </c>
      <c r="L982" s="3">
        <v>40</v>
      </c>
      <c r="M982" s="3" t="str">
        <f t="shared" si="15"/>
        <v>Middle Age</v>
      </c>
      <c r="N982" s="3" t="s">
        <v>15</v>
      </c>
    </row>
    <row r="983" spans="1:14" x14ac:dyDescent="0.25">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38</v>
      </c>
      <c r="D988" s="5">
        <v>40000</v>
      </c>
      <c r="E988" s="3">
        <v>5</v>
      </c>
      <c r="F988" s="3" t="s">
        <v>27</v>
      </c>
      <c r="G988" s="3" t="s">
        <v>21</v>
      </c>
      <c r="H988" s="3" t="s">
        <v>15</v>
      </c>
      <c r="I988" s="3">
        <v>4</v>
      </c>
      <c r="J988" s="3" t="s">
        <v>46</v>
      </c>
      <c r="K988" s="3" t="s">
        <v>32</v>
      </c>
      <c r="L988" s="3">
        <v>60</v>
      </c>
      <c r="M988" s="3" t="str">
        <f t="shared" si="15"/>
        <v>Old</v>
      </c>
      <c r="N988" s="3" t="s">
        <v>15</v>
      </c>
    </row>
    <row r="989" spans="1:14" x14ac:dyDescent="0.25">
      <c r="A989" s="3">
        <v>28972</v>
      </c>
      <c r="B989" s="3" t="s">
        <v>37</v>
      </c>
      <c r="C989" s="3" t="s">
        <v>39</v>
      </c>
      <c r="D989" s="5">
        <v>60000</v>
      </c>
      <c r="E989" s="3">
        <v>3</v>
      </c>
      <c r="F989" s="3" t="s">
        <v>31</v>
      </c>
      <c r="G989" s="3" t="s">
        <v>28</v>
      </c>
      <c r="H989" s="3" t="s">
        <v>15</v>
      </c>
      <c r="I989" s="3">
        <v>2</v>
      </c>
      <c r="J989" s="3" t="s">
        <v>46</v>
      </c>
      <c r="K989" s="3" t="s">
        <v>32</v>
      </c>
      <c r="L989" s="3">
        <v>66</v>
      </c>
      <c r="M989" s="3" t="str">
        <f t="shared" si="15"/>
        <v>Old</v>
      </c>
      <c r="N989" s="3" t="s">
        <v>18</v>
      </c>
    </row>
    <row r="990" spans="1:14" x14ac:dyDescent="0.25">
      <c r="A990" s="3">
        <v>22730</v>
      </c>
      <c r="B990" s="3" t="s">
        <v>36</v>
      </c>
      <c r="C990" s="3" t="s">
        <v>38</v>
      </c>
      <c r="D990" s="5">
        <v>70000</v>
      </c>
      <c r="E990" s="3">
        <v>5</v>
      </c>
      <c r="F990" s="3" t="s">
        <v>13</v>
      </c>
      <c r="G990" s="3" t="s">
        <v>28</v>
      </c>
      <c r="H990" s="3" t="s">
        <v>15</v>
      </c>
      <c r="I990" s="3">
        <v>2</v>
      </c>
      <c r="J990" s="3" t="s">
        <v>46</v>
      </c>
      <c r="K990" s="3" t="s">
        <v>32</v>
      </c>
      <c r="L990" s="3">
        <v>63</v>
      </c>
      <c r="M990" s="3" t="str">
        <f t="shared" si="15"/>
        <v>Old</v>
      </c>
      <c r="N990" s="3" t="s">
        <v>18</v>
      </c>
    </row>
    <row r="991" spans="1:14" x14ac:dyDescent="0.25">
      <c r="A991" s="3">
        <v>29134</v>
      </c>
      <c r="B991" s="3" t="s">
        <v>36</v>
      </c>
      <c r="C991" s="3" t="s">
        <v>38</v>
      </c>
      <c r="D991" s="5">
        <v>60000</v>
      </c>
      <c r="E991" s="3">
        <v>4</v>
      </c>
      <c r="F991" s="3" t="s">
        <v>13</v>
      </c>
      <c r="G991" s="3" t="s">
        <v>14</v>
      </c>
      <c r="H991" s="3" t="s">
        <v>18</v>
      </c>
      <c r="I991" s="3">
        <v>3</v>
      </c>
      <c r="J991" s="3" t="s">
        <v>46</v>
      </c>
      <c r="K991" s="3" t="s">
        <v>32</v>
      </c>
      <c r="L991" s="3">
        <v>42</v>
      </c>
      <c r="M991" s="3" t="str">
        <f t="shared" si="15"/>
        <v>Middle Age</v>
      </c>
      <c r="N991" s="3" t="s">
        <v>18</v>
      </c>
    </row>
    <row r="992" spans="1:14" x14ac:dyDescent="0.25">
      <c r="A992" s="3">
        <v>14332</v>
      </c>
      <c r="B992" s="3" t="s">
        <v>37</v>
      </c>
      <c r="C992" s="3" t="s">
        <v>39</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38</v>
      </c>
      <c r="D1001" s="5">
        <v>60000</v>
      </c>
      <c r="E1001" s="3">
        <v>3</v>
      </c>
      <c r="F1001" s="3" t="s">
        <v>27</v>
      </c>
      <c r="G1001" s="3" t="s">
        <v>21</v>
      </c>
      <c r="H1001" s="3" t="s">
        <v>15</v>
      </c>
      <c r="I1001" s="3">
        <v>2</v>
      </c>
      <c r="J1001" s="3" t="s">
        <v>46</v>
      </c>
      <c r="K1001" s="3" t="s">
        <v>32</v>
      </c>
      <c r="L1001" s="3">
        <v>53</v>
      </c>
      <c r="M1001" s="3" t="str">
        <f t="shared" si="15"/>
        <v>Middle Age</v>
      </c>
      <c r="N1001" s="3" t="s">
        <v>15</v>
      </c>
    </row>
  </sheetData>
  <autoFilter ref="A1:N1001" xr:uid="{2534D860-BEC7-4DDA-83E6-C67033312AE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E639-4BFA-47B4-911C-600BFB992760}">
  <dimension ref="A3:D82"/>
  <sheetViews>
    <sheetView topLeftCell="A56" workbookViewId="0">
      <selection activeCell="A61" sqref="A61:D83"/>
    </sheetView>
  </sheetViews>
  <sheetFormatPr defaultRowHeight="15" x14ac:dyDescent="0.25"/>
  <cols>
    <col min="1" max="1" width="22.85546875" bestFit="1" customWidth="1"/>
    <col min="2" max="2" width="16.28515625" bestFit="1" customWidth="1"/>
    <col min="3" max="3" width="8" bestFit="1" customWidth="1"/>
    <col min="4" max="4" width="11.28515625" bestFit="1" customWidth="1"/>
  </cols>
  <sheetData>
    <row r="3" spans="1:4" x14ac:dyDescent="0.25">
      <c r="A3" s="6" t="s">
        <v>43</v>
      </c>
      <c r="B3" s="6" t="s">
        <v>44</v>
      </c>
    </row>
    <row r="4" spans="1:4" x14ac:dyDescent="0.25">
      <c r="A4" s="6" t="s">
        <v>41</v>
      </c>
      <c r="B4" t="s">
        <v>18</v>
      </c>
      <c r="C4" t="s">
        <v>15</v>
      </c>
      <c r="D4" t="s">
        <v>42</v>
      </c>
    </row>
    <row r="5" spans="1:4" x14ac:dyDescent="0.25">
      <c r="A5" s="7" t="s">
        <v>39</v>
      </c>
      <c r="B5" s="9">
        <v>35555.555555555555</v>
      </c>
      <c r="C5" s="9">
        <v>45000</v>
      </c>
      <c r="D5" s="9">
        <v>40000</v>
      </c>
    </row>
    <row r="6" spans="1:4" x14ac:dyDescent="0.25">
      <c r="A6" s="7" t="s">
        <v>38</v>
      </c>
      <c r="B6" s="9">
        <v>38000</v>
      </c>
      <c r="C6" s="9">
        <v>43636.36363636364</v>
      </c>
      <c r="D6" s="9">
        <v>40952.380952380954</v>
      </c>
    </row>
    <row r="7" spans="1:4" x14ac:dyDescent="0.25">
      <c r="A7" s="7" t="s">
        <v>42</v>
      </c>
      <c r="B7" s="9">
        <v>36842.105263157893</v>
      </c>
      <c r="C7" s="9">
        <v>44210.526315789473</v>
      </c>
      <c r="D7" s="9">
        <v>40526.315789473687</v>
      </c>
    </row>
    <row r="23" spans="1:4" x14ac:dyDescent="0.25">
      <c r="A23" s="6" t="s">
        <v>45</v>
      </c>
      <c r="B23" s="6" t="s">
        <v>44</v>
      </c>
    </row>
    <row r="24" spans="1:4" x14ac:dyDescent="0.25">
      <c r="A24" s="6" t="s">
        <v>41</v>
      </c>
      <c r="B24" t="s">
        <v>18</v>
      </c>
      <c r="C24" t="s">
        <v>15</v>
      </c>
      <c r="D24" t="s">
        <v>42</v>
      </c>
    </row>
    <row r="25" spans="1:4" x14ac:dyDescent="0.25">
      <c r="A25" s="10" t="s">
        <v>16</v>
      </c>
      <c r="B25" s="11">
        <v>1</v>
      </c>
      <c r="C25" s="11">
        <v>4</v>
      </c>
      <c r="D25" s="11">
        <v>5</v>
      </c>
    </row>
    <row r="26" spans="1:4" x14ac:dyDescent="0.25">
      <c r="A26" s="10" t="s">
        <v>26</v>
      </c>
      <c r="B26" s="11">
        <v>1</v>
      </c>
      <c r="C26" s="11">
        <v>7</v>
      </c>
      <c r="D26" s="11">
        <v>8</v>
      </c>
    </row>
    <row r="27" spans="1:4" x14ac:dyDescent="0.25">
      <c r="A27" s="10" t="s">
        <v>22</v>
      </c>
      <c r="B27" s="11">
        <v>1</v>
      </c>
      <c r="C27" s="11">
        <v>2</v>
      </c>
      <c r="D27" s="11">
        <v>3</v>
      </c>
    </row>
    <row r="28" spans="1:4" x14ac:dyDescent="0.25">
      <c r="A28" s="10" t="s">
        <v>23</v>
      </c>
      <c r="B28" s="11">
        <v>15</v>
      </c>
      <c r="C28" s="11">
        <v>2</v>
      </c>
      <c r="D28" s="11">
        <v>17</v>
      </c>
    </row>
    <row r="29" spans="1:4" x14ac:dyDescent="0.25">
      <c r="A29" s="10" t="s">
        <v>46</v>
      </c>
      <c r="B29" s="11">
        <v>1</v>
      </c>
      <c r="C29" s="11">
        <v>4</v>
      </c>
      <c r="D29" s="11">
        <v>5</v>
      </c>
    </row>
    <row r="30" spans="1:4" x14ac:dyDescent="0.25">
      <c r="A30" s="7" t="s">
        <v>42</v>
      </c>
      <c r="B30" s="8">
        <v>19</v>
      </c>
      <c r="C30" s="8">
        <v>19</v>
      </c>
      <c r="D30" s="8">
        <v>38</v>
      </c>
    </row>
    <row r="42" spans="1:4" x14ac:dyDescent="0.25">
      <c r="A42" s="6" t="s">
        <v>45</v>
      </c>
      <c r="B42" s="6" t="s">
        <v>44</v>
      </c>
    </row>
    <row r="43" spans="1:4" x14ac:dyDescent="0.25">
      <c r="A43" s="6" t="s">
        <v>41</v>
      </c>
      <c r="B43" t="s">
        <v>18</v>
      </c>
      <c r="C43" t="s">
        <v>15</v>
      </c>
      <c r="D43" t="s">
        <v>42</v>
      </c>
    </row>
    <row r="44" spans="1:4" x14ac:dyDescent="0.25">
      <c r="A44" s="10" t="s">
        <v>47</v>
      </c>
      <c r="B44" s="11">
        <v>9</v>
      </c>
      <c r="C44" s="11">
        <v>4</v>
      </c>
      <c r="D44" s="11">
        <v>13</v>
      </c>
    </row>
    <row r="45" spans="1:4" x14ac:dyDescent="0.25">
      <c r="A45" s="10" t="s">
        <v>48</v>
      </c>
      <c r="B45" s="11">
        <v>8</v>
      </c>
      <c r="C45" s="11">
        <v>11</v>
      </c>
      <c r="D45" s="11">
        <v>19</v>
      </c>
    </row>
    <row r="46" spans="1:4" x14ac:dyDescent="0.25">
      <c r="A46" s="10" t="s">
        <v>49</v>
      </c>
      <c r="B46" s="11">
        <v>2</v>
      </c>
      <c r="C46" s="11">
        <v>4</v>
      </c>
      <c r="D46" s="11">
        <v>6</v>
      </c>
    </row>
    <row r="47" spans="1:4" x14ac:dyDescent="0.25">
      <c r="A47" s="7" t="s">
        <v>42</v>
      </c>
      <c r="B47" s="8">
        <v>19</v>
      </c>
      <c r="C47" s="8">
        <v>19</v>
      </c>
      <c r="D47" s="8">
        <v>38</v>
      </c>
    </row>
    <row r="62" spans="1:4" x14ac:dyDescent="0.25">
      <c r="A62" s="6" t="s">
        <v>45</v>
      </c>
      <c r="B62" s="6" t="s">
        <v>44</v>
      </c>
    </row>
    <row r="63" spans="1:4" x14ac:dyDescent="0.25">
      <c r="A63" s="6" t="s">
        <v>41</v>
      </c>
      <c r="B63" t="s">
        <v>18</v>
      </c>
      <c r="C63" t="s">
        <v>15</v>
      </c>
      <c r="D63" t="s">
        <v>42</v>
      </c>
    </row>
    <row r="64" spans="1:4" x14ac:dyDescent="0.25">
      <c r="A64" s="10">
        <v>25</v>
      </c>
      <c r="B64" s="11"/>
      <c r="C64" s="11">
        <v>1</v>
      </c>
      <c r="D64" s="11">
        <v>1</v>
      </c>
    </row>
    <row r="65" spans="1:4" x14ac:dyDescent="0.25">
      <c r="A65" s="10">
        <v>26</v>
      </c>
      <c r="B65" s="11">
        <v>2</v>
      </c>
      <c r="C65" s="11"/>
      <c r="D65" s="11">
        <v>2</v>
      </c>
    </row>
    <row r="66" spans="1:4" x14ac:dyDescent="0.25">
      <c r="A66" s="10">
        <v>27</v>
      </c>
      <c r="B66" s="11">
        <v>1</v>
      </c>
      <c r="C66" s="11">
        <v>1</v>
      </c>
      <c r="D66" s="11">
        <v>2</v>
      </c>
    </row>
    <row r="67" spans="1:4" x14ac:dyDescent="0.25">
      <c r="A67" s="10">
        <v>28</v>
      </c>
      <c r="B67" s="11"/>
      <c r="C67" s="11">
        <v>2</v>
      </c>
      <c r="D67" s="11">
        <v>2</v>
      </c>
    </row>
    <row r="68" spans="1:4" x14ac:dyDescent="0.25">
      <c r="A68" s="10">
        <v>30</v>
      </c>
      <c r="B68" s="11">
        <v>6</v>
      </c>
      <c r="C68" s="11"/>
      <c r="D68" s="11">
        <v>6</v>
      </c>
    </row>
    <row r="69" spans="1:4" x14ac:dyDescent="0.25">
      <c r="A69" s="10">
        <v>31</v>
      </c>
      <c r="B69" s="11">
        <v>5</v>
      </c>
      <c r="C69" s="11">
        <v>3</v>
      </c>
      <c r="D69" s="11">
        <v>8</v>
      </c>
    </row>
    <row r="70" spans="1:4" x14ac:dyDescent="0.25">
      <c r="A70" s="10">
        <v>45</v>
      </c>
      <c r="B70" s="11"/>
      <c r="C70" s="11">
        <v>1</v>
      </c>
      <c r="D70" s="11">
        <v>1</v>
      </c>
    </row>
    <row r="71" spans="1:4" x14ac:dyDescent="0.25">
      <c r="A71" s="10">
        <v>49</v>
      </c>
      <c r="B71" s="11">
        <v>1</v>
      </c>
      <c r="C71" s="11"/>
      <c r="D71" s="11">
        <v>1</v>
      </c>
    </row>
    <row r="72" spans="1:4" x14ac:dyDescent="0.25">
      <c r="A72" s="10">
        <v>50</v>
      </c>
      <c r="B72" s="11"/>
      <c r="C72" s="11">
        <v>2</v>
      </c>
      <c r="D72" s="11">
        <v>2</v>
      </c>
    </row>
    <row r="73" spans="1:4" x14ac:dyDescent="0.25">
      <c r="A73" s="10">
        <v>51</v>
      </c>
      <c r="B73" s="11">
        <v>1</v>
      </c>
      <c r="C73" s="11">
        <v>1</v>
      </c>
      <c r="D73" s="11">
        <v>2</v>
      </c>
    </row>
    <row r="74" spans="1:4" x14ac:dyDescent="0.25">
      <c r="A74" s="10">
        <v>52</v>
      </c>
      <c r="B74" s="11">
        <v>1</v>
      </c>
      <c r="C74" s="11">
        <v>1</v>
      </c>
      <c r="D74" s="11">
        <v>2</v>
      </c>
    </row>
    <row r="75" spans="1:4" x14ac:dyDescent="0.25">
      <c r="A75" s="10">
        <v>53</v>
      </c>
      <c r="B75" s="11"/>
      <c r="C75" s="11">
        <v>2</v>
      </c>
      <c r="D75" s="11">
        <v>2</v>
      </c>
    </row>
    <row r="76" spans="1:4" x14ac:dyDescent="0.25">
      <c r="A76" s="10">
        <v>54</v>
      </c>
      <c r="B76" s="11"/>
      <c r="C76" s="11">
        <v>1</v>
      </c>
      <c r="D76" s="11">
        <v>1</v>
      </c>
    </row>
    <row r="77" spans="1:4" x14ac:dyDescent="0.25">
      <c r="A77" s="10">
        <v>57</v>
      </c>
      <c r="B77" s="11">
        <v>1</v>
      </c>
      <c r="C77" s="11"/>
      <c r="D77" s="11">
        <v>1</v>
      </c>
    </row>
    <row r="78" spans="1:4" x14ac:dyDescent="0.25">
      <c r="A78" s="10">
        <v>58</v>
      </c>
      <c r="B78" s="11"/>
      <c r="C78" s="11">
        <v>1</v>
      </c>
      <c r="D78" s="11">
        <v>1</v>
      </c>
    </row>
    <row r="79" spans="1:4" x14ac:dyDescent="0.25">
      <c r="A79" s="10">
        <v>60</v>
      </c>
      <c r="B79" s="11"/>
      <c r="C79" s="11">
        <v>2</v>
      </c>
      <c r="D79" s="11">
        <v>2</v>
      </c>
    </row>
    <row r="80" spans="1:4" x14ac:dyDescent="0.25">
      <c r="A80" s="10">
        <v>62</v>
      </c>
      <c r="B80" s="11"/>
      <c r="C80" s="11">
        <v>1</v>
      </c>
      <c r="D80" s="11">
        <v>1</v>
      </c>
    </row>
    <row r="81" spans="1:4" x14ac:dyDescent="0.25">
      <c r="A81" s="10">
        <v>78</v>
      </c>
      <c r="B81" s="11">
        <v>1</v>
      </c>
      <c r="C81" s="11"/>
      <c r="D81" s="11">
        <v>1</v>
      </c>
    </row>
    <row r="82" spans="1:4" x14ac:dyDescent="0.25">
      <c r="A82" s="7" t="s">
        <v>42</v>
      </c>
      <c r="B82" s="8">
        <v>19</v>
      </c>
      <c r="C82" s="8">
        <v>19</v>
      </c>
      <c r="D82" s="8">
        <v>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2841F-5A12-4A25-A9EF-AA5D27596715}">
  <dimension ref="A1:V34"/>
  <sheetViews>
    <sheetView showGridLines="0" tabSelected="1" workbookViewId="0">
      <selection sqref="A1:O35"/>
    </sheetView>
  </sheetViews>
  <sheetFormatPr defaultRowHeight="15" x14ac:dyDescent="0.25"/>
  <sheetData>
    <row r="1" spans="1:22" x14ac:dyDescent="0.25">
      <c r="A1" s="13" t="s">
        <v>50</v>
      </c>
      <c r="B1" s="14"/>
      <c r="C1" s="14"/>
      <c r="D1" s="14"/>
      <c r="E1" s="14"/>
      <c r="F1" s="14"/>
      <c r="G1" s="14"/>
      <c r="H1" s="14"/>
      <c r="I1" s="14"/>
      <c r="J1" s="14"/>
      <c r="K1" s="14"/>
      <c r="L1" s="14"/>
      <c r="M1" s="14"/>
      <c r="N1" s="14"/>
      <c r="O1" s="14"/>
    </row>
    <row r="2" spans="1:22" x14ac:dyDescent="0.25">
      <c r="A2" s="14"/>
      <c r="B2" s="14"/>
      <c r="C2" s="14"/>
      <c r="D2" s="14"/>
      <c r="E2" s="14"/>
      <c r="F2" s="14"/>
      <c r="G2" s="14"/>
      <c r="H2" s="14"/>
      <c r="I2" s="14"/>
      <c r="J2" s="14"/>
      <c r="K2" s="14"/>
      <c r="L2" s="14"/>
      <c r="M2" s="14"/>
      <c r="N2" s="14"/>
      <c r="O2" s="14"/>
    </row>
    <row r="3" spans="1:22" x14ac:dyDescent="0.25">
      <c r="A3" s="14"/>
      <c r="B3" s="14"/>
      <c r="C3" s="14"/>
      <c r="D3" s="14"/>
      <c r="E3" s="14"/>
      <c r="F3" s="14"/>
      <c r="G3" s="14"/>
      <c r="H3" s="14"/>
      <c r="I3" s="14"/>
      <c r="J3" s="14"/>
      <c r="K3" s="14"/>
      <c r="L3" s="14"/>
      <c r="M3" s="14"/>
      <c r="N3" s="14"/>
      <c r="O3" s="14"/>
    </row>
    <row r="4" spans="1:22" x14ac:dyDescent="0.25">
      <c r="A4" s="14"/>
      <c r="B4" s="14"/>
      <c r="C4" s="14"/>
      <c r="D4" s="14"/>
      <c r="E4" s="14"/>
      <c r="F4" s="14"/>
      <c r="G4" s="14"/>
      <c r="H4" s="14"/>
      <c r="I4" s="14"/>
      <c r="J4" s="14"/>
      <c r="K4" s="14"/>
      <c r="L4" s="14"/>
      <c r="M4" s="14"/>
      <c r="N4" s="14"/>
      <c r="O4" s="14"/>
    </row>
    <row r="5" spans="1:22" x14ac:dyDescent="0.25">
      <c r="A5" s="14"/>
      <c r="B5" s="14"/>
      <c r="C5" s="14"/>
      <c r="D5" s="14"/>
      <c r="E5" s="14"/>
      <c r="F5" s="14"/>
      <c r="G5" s="14"/>
      <c r="H5" s="14"/>
      <c r="I5" s="14"/>
      <c r="J5" s="14"/>
      <c r="K5" s="14"/>
      <c r="L5" s="14"/>
      <c r="M5" s="14"/>
      <c r="N5" s="14"/>
      <c r="O5" s="14"/>
    </row>
    <row r="6" spans="1:22" x14ac:dyDescent="0.25">
      <c r="A6" s="14"/>
      <c r="B6" s="14"/>
      <c r="C6" s="14"/>
      <c r="D6" s="14"/>
      <c r="E6" s="14"/>
      <c r="F6" s="14"/>
      <c r="G6" s="14"/>
      <c r="H6" s="14"/>
      <c r="I6" s="14"/>
      <c r="J6" s="14"/>
      <c r="K6" s="14"/>
      <c r="L6" s="14"/>
      <c r="M6" s="14"/>
      <c r="N6" s="14"/>
      <c r="O6" s="14"/>
    </row>
    <row r="15" spans="1:22" x14ac:dyDescent="0.25">
      <c r="V15" s="12"/>
    </row>
    <row r="16" spans="1:22" x14ac:dyDescent="0.25">
      <c r="V16" s="12"/>
    </row>
    <row r="17" spans="1:22" x14ac:dyDescent="0.25">
      <c r="V17" s="12"/>
    </row>
    <row r="18" spans="1:22" x14ac:dyDescent="0.25">
      <c r="V18" s="12"/>
    </row>
    <row r="29" spans="1:22" x14ac:dyDescent="0.25">
      <c r="A29" s="15"/>
      <c r="B29" s="15"/>
      <c r="C29" s="15"/>
    </row>
    <row r="30" spans="1:22" x14ac:dyDescent="0.25">
      <c r="A30" s="15"/>
      <c r="B30" s="15"/>
      <c r="C30" s="15"/>
    </row>
    <row r="31" spans="1:22" x14ac:dyDescent="0.25">
      <c r="A31" s="15"/>
      <c r="B31" s="15"/>
      <c r="C31" s="15"/>
    </row>
    <row r="32" spans="1:22" x14ac:dyDescent="0.25">
      <c r="A32" s="15"/>
      <c r="B32" s="15"/>
      <c r="C32" s="15"/>
    </row>
    <row r="33" spans="1:3" x14ac:dyDescent="0.25">
      <c r="A33" s="15"/>
      <c r="B33" s="15"/>
      <c r="C33" s="15"/>
    </row>
    <row r="34" spans="1:3" x14ac:dyDescent="0.25">
      <c r="A34" s="15"/>
      <c r="B34" s="15"/>
      <c r="C34" s="15"/>
    </row>
  </sheetData>
  <mergeCells count="2">
    <mergeCell ref="A1:O6"/>
    <mergeCell ref="A29:C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Mirza Basheer Ali</dc:creator>
  <cp:lastModifiedBy>Mirza Basheer Ali</cp:lastModifiedBy>
  <dcterms:created xsi:type="dcterms:W3CDTF">2022-03-18T02:50:57Z</dcterms:created>
  <dcterms:modified xsi:type="dcterms:W3CDTF">2026-09-23T14:31:40Z</dcterms:modified>
</cp:coreProperties>
</file>